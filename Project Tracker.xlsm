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S:\Project Management\Projects\"/>
    </mc:Choice>
  </mc:AlternateContent>
  <xr:revisionPtr revIDLastSave="0" documentId="13_ncr:1_{23597FB6-A14E-4B08-A792-A28110536EFC}" xr6:coauthVersionLast="47" xr6:coauthVersionMax="47" xr10:uidLastSave="{00000000-0000-0000-0000-000000000000}"/>
  <bookViews>
    <workbookView xWindow="-96" yWindow="0" windowWidth="11712" windowHeight="13776" firstSheet="4" activeTab="5" xr2:uid="{00000000-000D-0000-FFFF-FFFF00000000}"/>
  </bookViews>
  <sheets>
    <sheet name="Program Dashboard" sheetId="1" r:id="rId1"/>
    <sheet name="Template" sheetId="6" r:id="rId2"/>
    <sheet name="184K334H01" sheetId="2" r:id="rId3"/>
    <sheet name="1TD1351A10015-1010" sheetId="4" r:id="rId4"/>
    <sheet name="280-331-310" sheetId="7" r:id="rId5"/>
    <sheet name="1TD1351A10015-1009" sheetId="8" r:id="rId6"/>
    <sheet name="Holiday Schedule" sheetId="5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O96" i="8" l="1"/>
  <c r="L96" i="8"/>
  <c r="DO95" i="8"/>
  <c r="L95" i="8"/>
  <c r="DO94" i="8"/>
  <c r="L94" i="8"/>
  <c r="DO93" i="8"/>
  <c r="L93" i="8"/>
  <c r="DO92" i="8"/>
  <c r="L92" i="8"/>
  <c r="DO91" i="8"/>
  <c r="L91" i="8"/>
  <c r="DO90" i="8"/>
  <c r="L90" i="8"/>
  <c r="DO89" i="8"/>
  <c r="L89" i="8"/>
  <c r="DO88" i="8"/>
  <c r="L88" i="8"/>
  <c r="DO87" i="8"/>
  <c r="L87" i="8"/>
  <c r="DO86" i="8"/>
  <c r="L86" i="8"/>
  <c r="DO85" i="8"/>
  <c r="L85" i="8"/>
  <c r="DO84" i="8"/>
  <c r="L84" i="8"/>
  <c r="DO83" i="8"/>
  <c r="L83" i="8"/>
  <c r="DO82" i="8"/>
  <c r="L82" i="8"/>
  <c r="DO81" i="8"/>
  <c r="L81" i="8"/>
  <c r="DO80" i="8"/>
  <c r="L80" i="8"/>
  <c r="DO79" i="8"/>
  <c r="L79" i="8"/>
  <c r="DO78" i="8"/>
  <c r="L78" i="8"/>
  <c r="DO77" i="8"/>
  <c r="L77" i="8"/>
  <c r="DO76" i="8"/>
  <c r="L76" i="8"/>
  <c r="DO75" i="8"/>
  <c r="L75" i="8"/>
  <c r="DO74" i="8"/>
  <c r="L74" i="8"/>
  <c r="DO73" i="8"/>
  <c r="L73" i="8"/>
  <c r="DO72" i="8"/>
  <c r="L72" i="8"/>
  <c r="DO71" i="8"/>
  <c r="L71" i="8"/>
  <c r="DO70" i="8"/>
  <c r="L70" i="8"/>
  <c r="DO69" i="8"/>
  <c r="L69" i="8"/>
  <c r="DO68" i="8"/>
  <c r="L68" i="8"/>
  <c r="DO67" i="8"/>
  <c r="L67" i="8"/>
  <c r="DO66" i="8"/>
  <c r="L66" i="8"/>
  <c r="DO65" i="8"/>
  <c r="L65" i="8"/>
  <c r="DO64" i="8"/>
  <c r="L64" i="8"/>
  <c r="DO63" i="8"/>
  <c r="L63" i="8"/>
  <c r="DO62" i="8"/>
  <c r="L62" i="8"/>
  <c r="DO61" i="8"/>
  <c r="L61" i="8"/>
  <c r="DO60" i="8"/>
  <c r="L60" i="8"/>
  <c r="DO59" i="8"/>
  <c r="L59" i="8"/>
  <c r="DO58" i="8"/>
  <c r="L58" i="8"/>
  <c r="DO57" i="8"/>
  <c r="L57" i="8"/>
  <c r="DO56" i="8"/>
  <c r="L56" i="8"/>
  <c r="DO55" i="8"/>
  <c r="L55" i="8"/>
  <c r="DO54" i="8"/>
  <c r="L54" i="8"/>
  <c r="DO53" i="8"/>
  <c r="L53" i="8"/>
  <c r="DO52" i="8"/>
  <c r="L52" i="8"/>
  <c r="DO51" i="8"/>
  <c r="L51" i="8"/>
  <c r="DO50" i="8"/>
  <c r="L50" i="8"/>
  <c r="DO49" i="8"/>
  <c r="L49" i="8"/>
  <c r="DO48" i="8"/>
  <c r="L48" i="8"/>
  <c r="DO47" i="8"/>
  <c r="L47" i="8"/>
  <c r="DO46" i="8"/>
  <c r="L46" i="8"/>
  <c r="DO45" i="8"/>
  <c r="L45" i="8"/>
  <c r="DO44" i="8"/>
  <c r="L44" i="8"/>
  <c r="DO43" i="8"/>
  <c r="L43" i="8"/>
  <c r="DO42" i="8"/>
  <c r="L42" i="8"/>
  <c r="DO41" i="8"/>
  <c r="L41" i="8"/>
  <c r="DO40" i="8"/>
  <c r="L40" i="8"/>
  <c r="DO39" i="8"/>
  <c r="L39" i="8"/>
  <c r="DO38" i="8"/>
  <c r="L38" i="8"/>
  <c r="DO37" i="8"/>
  <c r="L37" i="8"/>
  <c r="DO36" i="8"/>
  <c r="L36" i="8"/>
  <c r="DO35" i="8"/>
  <c r="L35" i="8"/>
  <c r="DO25" i="8"/>
  <c r="L25" i="8"/>
  <c r="G25" i="8"/>
  <c r="E25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G9" i="8"/>
  <c r="B9" i="8"/>
  <c r="B5" i="8"/>
  <c r="O8" i="8" s="1"/>
  <c r="L9" i="8" l="1"/>
  <c r="DO9" i="8" s="1"/>
  <c r="G10" i="8"/>
  <c r="E5" i="8"/>
  <c r="G11" i="8" l="1"/>
  <c r="E12" i="8" s="1"/>
  <c r="L10" i="8"/>
  <c r="DO10" i="8" s="1"/>
  <c r="G12" i="8" l="1"/>
  <c r="L11" i="8"/>
  <c r="DO11" i="8" l="1"/>
  <c r="E13" i="8"/>
  <c r="L12" i="8"/>
  <c r="DO12" i="8" s="1"/>
  <c r="G13" i="8" l="1"/>
  <c r="E14" i="8" l="1"/>
  <c r="L13" i="8"/>
  <c r="DO13" i="8" l="1"/>
  <c r="G14" i="8"/>
  <c r="E15" i="8" l="1"/>
  <c r="L14" i="8"/>
  <c r="DO14" i="8" l="1"/>
  <c r="G15" i="8"/>
  <c r="L15" i="8" s="1"/>
  <c r="DO15" i="8" s="1"/>
  <c r="E16" i="8" l="1"/>
  <c r="G16" i="8" l="1"/>
  <c r="E17" i="8" s="1"/>
  <c r="L16" i="8" l="1"/>
  <c r="DO16" i="8" s="1"/>
  <c r="G17" i="8"/>
  <c r="E18" i="8" s="1"/>
  <c r="L17" i="8" l="1"/>
  <c r="DO17" i="8" s="1"/>
  <c r="G18" i="8"/>
  <c r="E19" i="8" s="1"/>
  <c r="L18" i="8" l="1"/>
  <c r="DO18" i="8" s="1"/>
  <c r="G19" i="8"/>
  <c r="E20" i="8" s="1"/>
  <c r="L19" i="8" l="1"/>
  <c r="DO19" i="8" s="1"/>
  <c r="G20" i="8"/>
  <c r="E21" i="8" s="1"/>
  <c r="L20" i="8" l="1"/>
  <c r="DO20" i="8" s="1"/>
  <c r="G21" i="8"/>
  <c r="E22" i="8" s="1"/>
  <c r="G22" i="8" l="1"/>
  <c r="E23" i="8" s="1"/>
  <c r="L21" i="8"/>
  <c r="DO21" i="8" s="1"/>
  <c r="L22" i="8" l="1"/>
  <c r="DO22" i="8" s="1"/>
  <c r="G23" i="8"/>
  <c r="E24" i="8" s="1"/>
  <c r="L23" i="8" l="1"/>
  <c r="DO23" i="8" s="1"/>
  <c r="G24" i="8"/>
  <c r="D5" i="8" s="1"/>
  <c r="H5" i="8" l="1"/>
  <c r="P8" i="8"/>
  <c r="Q8" i="8" s="1"/>
  <c r="R8" i="8" s="1"/>
  <c r="S8" i="8" s="1"/>
  <c r="T8" i="8" s="1"/>
  <c r="U8" i="8" s="1"/>
  <c r="V8" i="8" s="1"/>
  <c r="W8" i="8" s="1"/>
  <c r="X8" i="8" s="1"/>
  <c r="Y8" i="8" s="1"/>
  <c r="Z8" i="8" s="1"/>
  <c r="AA8" i="8" s="1"/>
  <c r="AB8" i="8" s="1"/>
  <c r="AC8" i="8" s="1"/>
  <c r="AD8" i="8" s="1"/>
  <c r="AE8" i="8" s="1"/>
  <c r="AF8" i="8" s="1"/>
  <c r="AG8" i="8" s="1"/>
  <c r="AH8" i="8" s="1"/>
  <c r="AI8" i="8" s="1"/>
  <c r="AJ8" i="8" s="1"/>
  <c r="AK8" i="8" s="1"/>
  <c r="AL8" i="8" s="1"/>
  <c r="AM8" i="8" s="1"/>
  <c r="AN8" i="8" s="1"/>
  <c r="AO8" i="8" s="1"/>
  <c r="AP8" i="8" s="1"/>
  <c r="AQ8" i="8" s="1"/>
  <c r="AR8" i="8" s="1"/>
  <c r="AS8" i="8" s="1"/>
  <c r="AT8" i="8" s="1"/>
  <c r="AU8" i="8" s="1"/>
  <c r="AV8" i="8" s="1"/>
  <c r="AW8" i="8" s="1"/>
  <c r="AX8" i="8" s="1"/>
  <c r="AY8" i="8" s="1"/>
  <c r="AZ8" i="8" s="1"/>
  <c r="BA8" i="8" s="1"/>
  <c r="BB8" i="8" s="1"/>
  <c r="BC8" i="8" s="1"/>
  <c r="BD8" i="8" s="1"/>
  <c r="BE8" i="8" s="1"/>
  <c r="BF8" i="8" s="1"/>
  <c r="BG8" i="8" s="1"/>
  <c r="BH8" i="8" s="1"/>
  <c r="BI8" i="8" s="1"/>
  <c r="BJ8" i="8" s="1"/>
  <c r="BK8" i="8" s="1"/>
  <c r="BL8" i="8" s="1"/>
  <c r="BM8" i="8" s="1"/>
  <c r="BN8" i="8" s="1"/>
  <c r="BO8" i="8" s="1"/>
  <c r="BP8" i="8" s="1"/>
  <c r="BQ8" i="8" s="1"/>
  <c r="BR8" i="8" s="1"/>
  <c r="BS8" i="8" s="1"/>
  <c r="BT8" i="8" s="1"/>
  <c r="BU8" i="8" s="1"/>
  <c r="BV8" i="8" s="1"/>
  <c r="BW8" i="8" s="1"/>
  <c r="BX8" i="8" s="1"/>
  <c r="BY8" i="8" s="1"/>
  <c r="BZ8" i="8" s="1"/>
  <c r="CA8" i="8" s="1"/>
  <c r="CB8" i="8" s="1"/>
  <c r="CC8" i="8" s="1"/>
  <c r="CD8" i="8" s="1"/>
  <c r="CE8" i="8" s="1"/>
  <c r="CF8" i="8" s="1"/>
  <c r="CG8" i="8" s="1"/>
  <c r="CH8" i="8" s="1"/>
  <c r="CI8" i="8" s="1"/>
  <c r="CJ8" i="8" s="1"/>
  <c r="CK8" i="8" s="1"/>
  <c r="CL8" i="8" s="1"/>
  <c r="CM8" i="8" s="1"/>
  <c r="CN8" i="8" s="1"/>
  <c r="CO8" i="8" s="1"/>
  <c r="CP8" i="8" s="1"/>
  <c r="CQ8" i="8" s="1"/>
  <c r="CR8" i="8" s="1"/>
  <c r="CS8" i="8" s="1"/>
  <c r="CT8" i="8" s="1"/>
  <c r="CU8" i="8" s="1"/>
  <c r="CV8" i="8" s="1"/>
  <c r="CW8" i="8" s="1"/>
  <c r="CX8" i="8" s="1"/>
  <c r="CY8" i="8" s="1"/>
  <c r="CZ8" i="8" s="1"/>
  <c r="DA8" i="8" s="1"/>
  <c r="DB8" i="8" s="1"/>
  <c r="DC8" i="8" s="1"/>
  <c r="DD8" i="8" s="1"/>
  <c r="DE8" i="8" s="1"/>
  <c r="DF8" i="8" s="1"/>
  <c r="DG8" i="8" s="1"/>
  <c r="DH8" i="8" s="1"/>
  <c r="DI8" i="8" s="1"/>
  <c r="DJ8" i="8" s="1"/>
  <c r="DK8" i="8" s="1"/>
  <c r="DL8" i="8" s="1"/>
  <c r="DM8" i="8" s="1"/>
  <c r="DN8" i="8" s="1"/>
  <c r="L24" i="8"/>
  <c r="DO24" i="8" l="1"/>
  <c r="C6" i="8" s="1"/>
  <c r="G5" i="8"/>
  <c r="DO96" i="7" l="1"/>
  <c r="L96" i="7"/>
  <c r="DO95" i="7"/>
  <c r="L95" i="7"/>
  <c r="DO94" i="7"/>
  <c r="L94" i="7"/>
  <c r="DO93" i="7"/>
  <c r="L93" i="7"/>
  <c r="DO92" i="7"/>
  <c r="L92" i="7"/>
  <c r="DO91" i="7"/>
  <c r="L91" i="7"/>
  <c r="DO90" i="7"/>
  <c r="L90" i="7"/>
  <c r="DO89" i="7"/>
  <c r="L89" i="7"/>
  <c r="DO88" i="7"/>
  <c r="L88" i="7"/>
  <c r="DO87" i="7"/>
  <c r="L87" i="7"/>
  <c r="DO86" i="7"/>
  <c r="L86" i="7"/>
  <c r="DO85" i="7"/>
  <c r="L85" i="7"/>
  <c r="DO84" i="7"/>
  <c r="L84" i="7"/>
  <c r="DO83" i="7"/>
  <c r="L83" i="7"/>
  <c r="DO82" i="7"/>
  <c r="L82" i="7"/>
  <c r="DO81" i="7"/>
  <c r="L81" i="7"/>
  <c r="DO80" i="7"/>
  <c r="L80" i="7"/>
  <c r="DO79" i="7"/>
  <c r="L79" i="7"/>
  <c r="DO78" i="7"/>
  <c r="L78" i="7"/>
  <c r="DO77" i="7"/>
  <c r="L77" i="7"/>
  <c r="DO76" i="7"/>
  <c r="L76" i="7"/>
  <c r="DO75" i="7"/>
  <c r="L75" i="7"/>
  <c r="DO74" i="7"/>
  <c r="L74" i="7"/>
  <c r="DO73" i="7"/>
  <c r="L73" i="7"/>
  <c r="DO72" i="7"/>
  <c r="L72" i="7"/>
  <c r="DO71" i="7"/>
  <c r="L71" i="7"/>
  <c r="DO70" i="7"/>
  <c r="L70" i="7"/>
  <c r="DO69" i="7"/>
  <c r="L69" i="7"/>
  <c r="DO68" i="7"/>
  <c r="L68" i="7"/>
  <c r="DO67" i="7"/>
  <c r="L67" i="7"/>
  <c r="DO66" i="7"/>
  <c r="L66" i="7"/>
  <c r="DO65" i="7"/>
  <c r="L65" i="7"/>
  <c r="DO64" i="7"/>
  <c r="L64" i="7"/>
  <c r="DO63" i="7"/>
  <c r="L63" i="7"/>
  <c r="DO62" i="7"/>
  <c r="L62" i="7"/>
  <c r="DO61" i="7"/>
  <c r="L61" i="7"/>
  <c r="DO60" i="7"/>
  <c r="L60" i="7"/>
  <c r="DO59" i="7"/>
  <c r="L59" i="7"/>
  <c r="DO58" i="7"/>
  <c r="L58" i="7"/>
  <c r="DO57" i="7"/>
  <c r="L57" i="7"/>
  <c r="DO56" i="7"/>
  <c r="L56" i="7"/>
  <c r="DO55" i="7"/>
  <c r="L55" i="7"/>
  <c r="DO54" i="7"/>
  <c r="L54" i="7"/>
  <c r="DO53" i="7"/>
  <c r="L53" i="7"/>
  <c r="DO52" i="7"/>
  <c r="L52" i="7"/>
  <c r="DO51" i="7"/>
  <c r="L51" i="7"/>
  <c r="DO50" i="7"/>
  <c r="L50" i="7"/>
  <c r="DO49" i="7"/>
  <c r="L49" i="7"/>
  <c r="DO48" i="7"/>
  <c r="L48" i="7"/>
  <c r="DO47" i="7"/>
  <c r="L47" i="7"/>
  <c r="DO46" i="7"/>
  <c r="L46" i="7"/>
  <c r="DO45" i="7"/>
  <c r="L45" i="7"/>
  <c r="DO44" i="7"/>
  <c r="L44" i="7"/>
  <c r="DO43" i="7"/>
  <c r="L43" i="7"/>
  <c r="DO42" i="7"/>
  <c r="L42" i="7"/>
  <c r="DO41" i="7"/>
  <c r="L41" i="7"/>
  <c r="DO40" i="7"/>
  <c r="L40" i="7"/>
  <c r="DO39" i="7"/>
  <c r="L39" i="7"/>
  <c r="DO38" i="7"/>
  <c r="L38" i="7"/>
  <c r="DO37" i="7"/>
  <c r="L37" i="7"/>
  <c r="DO36" i="7"/>
  <c r="L36" i="7"/>
  <c r="DO35" i="7"/>
  <c r="L35" i="7"/>
  <c r="DO25" i="7"/>
  <c r="L25" i="7"/>
  <c r="G25" i="7"/>
  <c r="E25" i="7"/>
  <c r="B25" i="7"/>
  <c r="DO24" i="7"/>
  <c r="L24" i="7"/>
  <c r="I24" i="7"/>
  <c r="G24" i="7" s="1"/>
  <c r="E24" i="7"/>
  <c r="B24" i="7"/>
  <c r="I23" i="7"/>
  <c r="B23" i="7"/>
  <c r="I22" i="7"/>
  <c r="B22" i="7"/>
  <c r="I21" i="7"/>
  <c r="B21" i="7"/>
  <c r="I20" i="7"/>
  <c r="B20" i="7"/>
  <c r="I19" i="7"/>
  <c r="B19" i="7"/>
  <c r="I18" i="7"/>
  <c r="B18" i="7"/>
  <c r="I17" i="7"/>
  <c r="B17" i="7"/>
  <c r="I16" i="7"/>
  <c r="B16" i="7"/>
  <c r="I15" i="7"/>
  <c r="B15" i="7"/>
  <c r="I14" i="7"/>
  <c r="B14" i="7"/>
  <c r="I13" i="7"/>
  <c r="B13" i="7"/>
  <c r="I12" i="7"/>
  <c r="B12" i="7"/>
  <c r="I11" i="7"/>
  <c r="B11" i="7"/>
  <c r="B10" i="7"/>
  <c r="G9" i="7"/>
  <c r="L9" i="7" s="1"/>
  <c r="DO9" i="7" s="1"/>
  <c r="B9" i="7"/>
  <c r="B5" i="7"/>
  <c r="O8" i="7" s="1"/>
  <c r="B5" i="6"/>
  <c r="O8" i="6" s="1"/>
  <c r="E11" i="6"/>
  <c r="DO96" i="6"/>
  <c r="L96" i="6"/>
  <c r="DO95" i="6"/>
  <c r="L95" i="6"/>
  <c r="DO94" i="6"/>
  <c r="L94" i="6"/>
  <c r="DO93" i="6"/>
  <c r="L93" i="6"/>
  <c r="DO92" i="6"/>
  <c r="L92" i="6"/>
  <c r="DO91" i="6"/>
  <c r="L91" i="6"/>
  <c r="DO90" i="6"/>
  <c r="L90" i="6"/>
  <c r="DO89" i="6"/>
  <c r="L89" i="6"/>
  <c r="DO88" i="6"/>
  <c r="L88" i="6"/>
  <c r="DO87" i="6"/>
  <c r="L87" i="6"/>
  <c r="DO86" i="6"/>
  <c r="L86" i="6"/>
  <c r="DO85" i="6"/>
  <c r="L85" i="6"/>
  <c r="DO84" i="6"/>
  <c r="L84" i="6"/>
  <c r="DO83" i="6"/>
  <c r="L83" i="6"/>
  <c r="DO82" i="6"/>
  <c r="L82" i="6"/>
  <c r="DO81" i="6"/>
  <c r="L81" i="6"/>
  <c r="DO80" i="6"/>
  <c r="L80" i="6"/>
  <c r="DO79" i="6"/>
  <c r="L79" i="6"/>
  <c r="DO78" i="6"/>
  <c r="L78" i="6"/>
  <c r="DO77" i="6"/>
  <c r="L77" i="6"/>
  <c r="DO76" i="6"/>
  <c r="L76" i="6"/>
  <c r="DO75" i="6"/>
  <c r="L75" i="6"/>
  <c r="DO74" i="6"/>
  <c r="L74" i="6"/>
  <c r="DO73" i="6"/>
  <c r="L73" i="6"/>
  <c r="DO72" i="6"/>
  <c r="L72" i="6"/>
  <c r="DO71" i="6"/>
  <c r="L71" i="6"/>
  <c r="DO70" i="6"/>
  <c r="L70" i="6"/>
  <c r="DO69" i="6"/>
  <c r="L69" i="6"/>
  <c r="DO68" i="6"/>
  <c r="L68" i="6"/>
  <c r="DO67" i="6"/>
  <c r="L67" i="6"/>
  <c r="DO66" i="6"/>
  <c r="L66" i="6"/>
  <c r="DO65" i="6"/>
  <c r="L65" i="6"/>
  <c r="DO64" i="6"/>
  <c r="L64" i="6"/>
  <c r="DO63" i="6"/>
  <c r="L63" i="6"/>
  <c r="DO62" i="6"/>
  <c r="L62" i="6"/>
  <c r="DO61" i="6"/>
  <c r="L61" i="6"/>
  <c r="DO60" i="6"/>
  <c r="L60" i="6"/>
  <c r="DO59" i="6"/>
  <c r="L59" i="6"/>
  <c r="DO58" i="6"/>
  <c r="L58" i="6"/>
  <c r="DO57" i="6"/>
  <c r="L57" i="6"/>
  <c r="DO56" i="6"/>
  <c r="L56" i="6"/>
  <c r="DO55" i="6"/>
  <c r="L55" i="6"/>
  <c r="DO54" i="6"/>
  <c r="L54" i="6"/>
  <c r="DO53" i="6"/>
  <c r="L53" i="6"/>
  <c r="DO52" i="6"/>
  <c r="L52" i="6"/>
  <c r="DO51" i="6"/>
  <c r="L51" i="6"/>
  <c r="DO50" i="6"/>
  <c r="L50" i="6"/>
  <c r="DO49" i="6"/>
  <c r="L49" i="6"/>
  <c r="DO48" i="6"/>
  <c r="L48" i="6"/>
  <c r="DO47" i="6"/>
  <c r="L47" i="6"/>
  <c r="DO46" i="6"/>
  <c r="L46" i="6"/>
  <c r="DO45" i="6"/>
  <c r="L45" i="6"/>
  <c r="DO44" i="6"/>
  <c r="L44" i="6"/>
  <c r="DO43" i="6"/>
  <c r="L43" i="6"/>
  <c r="DO42" i="6"/>
  <c r="L42" i="6"/>
  <c r="DO41" i="6"/>
  <c r="L41" i="6"/>
  <c r="DO40" i="6"/>
  <c r="L40" i="6"/>
  <c r="DO39" i="6"/>
  <c r="L39" i="6"/>
  <c r="DO38" i="6"/>
  <c r="L38" i="6"/>
  <c r="DO37" i="6"/>
  <c r="L37" i="6"/>
  <c r="DO36" i="6"/>
  <c r="L36" i="6"/>
  <c r="DO35" i="6"/>
  <c r="L35" i="6"/>
  <c r="DO25" i="6"/>
  <c r="L25" i="6"/>
  <c r="G25" i="6"/>
  <c r="E25" i="6"/>
  <c r="B25" i="6"/>
  <c r="I24" i="6"/>
  <c r="B24" i="6"/>
  <c r="I23" i="6"/>
  <c r="B23" i="6"/>
  <c r="I22" i="6"/>
  <c r="B22" i="6"/>
  <c r="I21" i="6"/>
  <c r="B21" i="6"/>
  <c r="I20" i="6"/>
  <c r="B20" i="6"/>
  <c r="I19" i="6"/>
  <c r="B19" i="6"/>
  <c r="I18" i="6"/>
  <c r="B18" i="6"/>
  <c r="I17" i="6"/>
  <c r="B17" i="6"/>
  <c r="I16" i="6"/>
  <c r="B16" i="6"/>
  <c r="I15" i="6"/>
  <c r="B15" i="6"/>
  <c r="I14" i="6"/>
  <c r="B14" i="6"/>
  <c r="I13" i="6"/>
  <c r="B13" i="6"/>
  <c r="I12" i="6"/>
  <c r="B12" i="6"/>
  <c r="I11" i="6"/>
  <c r="G11" i="6" s="1"/>
  <c r="E12" i="6" s="1"/>
  <c r="B11" i="6"/>
  <c r="L10" i="6"/>
  <c r="DO10" i="6" s="1"/>
  <c r="I10" i="6"/>
  <c r="B10" i="6"/>
  <c r="L9" i="6"/>
  <c r="DO9" i="6" s="1"/>
  <c r="I9" i="6"/>
  <c r="G9" i="6" s="1"/>
  <c r="E10" i="6" s="1"/>
  <c r="B9" i="6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9" i="4"/>
  <c r="G9" i="4" s="1"/>
  <c r="E10" i="4" s="1"/>
  <c r="B19" i="4"/>
  <c r="B24" i="4"/>
  <c r="B23" i="4"/>
  <c r="B25" i="4"/>
  <c r="B22" i="4"/>
  <c r="B21" i="4"/>
  <c r="B20" i="4"/>
  <c r="I11" i="1"/>
  <c r="I12" i="1"/>
  <c r="B12" i="1"/>
  <c r="DO96" i="4"/>
  <c r="L96" i="4"/>
  <c r="DO95" i="4"/>
  <c r="L95" i="4"/>
  <c r="DO94" i="4"/>
  <c r="L94" i="4"/>
  <c r="DO93" i="4"/>
  <c r="L93" i="4"/>
  <c r="DO92" i="4"/>
  <c r="L92" i="4"/>
  <c r="DO91" i="4"/>
  <c r="L91" i="4"/>
  <c r="DO90" i="4"/>
  <c r="L90" i="4"/>
  <c r="DO89" i="4"/>
  <c r="L89" i="4"/>
  <c r="DO88" i="4"/>
  <c r="L88" i="4"/>
  <c r="DO87" i="4"/>
  <c r="L87" i="4"/>
  <c r="DO86" i="4"/>
  <c r="L86" i="4"/>
  <c r="DO85" i="4"/>
  <c r="L85" i="4"/>
  <c r="DO84" i="4"/>
  <c r="L84" i="4"/>
  <c r="DO83" i="4"/>
  <c r="L83" i="4"/>
  <c r="DO82" i="4"/>
  <c r="L82" i="4"/>
  <c r="DO81" i="4"/>
  <c r="L81" i="4"/>
  <c r="DO80" i="4"/>
  <c r="L80" i="4"/>
  <c r="DO79" i="4"/>
  <c r="L79" i="4"/>
  <c r="DO78" i="4"/>
  <c r="L78" i="4"/>
  <c r="DO77" i="4"/>
  <c r="L77" i="4"/>
  <c r="DO76" i="4"/>
  <c r="L76" i="4"/>
  <c r="DO75" i="4"/>
  <c r="L75" i="4"/>
  <c r="DO74" i="4"/>
  <c r="L74" i="4"/>
  <c r="DO73" i="4"/>
  <c r="L73" i="4"/>
  <c r="DO72" i="4"/>
  <c r="L72" i="4"/>
  <c r="DO71" i="4"/>
  <c r="L71" i="4"/>
  <c r="DO70" i="4"/>
  <c r="L70" i="4"/>
  <c r="DO69" i="4"/>
  <c r="L69" i="4"/>
  <c r="DO68" i="4"/>
  <c r="L68" i="4"/>
  <c r="DO67" i="4"/>
  <c r="L67" i="4"/>
  <c r="DO66" i="4"/>
  <c r="L66" i="4"/>
  <c r="DO65" i="4"/>
  <c r="L65" i="4"/>
  <c r="DO64" i="4"/>
  <c r="L64" i="4"/>
  <c r="DO63" i="4"/>
  <c r="L63" i="4"/>
  <c r="DO62" i="4"/>
  <c r="L62" i="4"/>
  <c r="DO61" i="4"/>
  <c r="L61" i="4"/>
  <c r="DO60" i="4"/>
  <c r="L60" i="4"/>
  <c r="DO59" i="4"/>
  <c r="L59" i="4"/>
  <c r="DO58" i="4"/>
  <c r="L58" i="4"/>
  <c r="DO57" i="4"/>
  <c r="L57" i="4"/>
  <c r="DO56" i="4"/>
  <c r="L56" i="4"/>
  <c r="DO55" i="4"/>
  <c r="L55" i="4"/>
  <c r="DO54" i="4"/>
  <c r="L54" i="4"/>
  <c r="DO53" i="4"/>
  <c r="L53" i="4"/>
  <c r="DO52" i="4"/>
  <c r="L52" i="4"/>
  <c r="DO51" i="4"/>
  <c r="L51" i="4"/>
  <c r="DO50" i="4"/>
  <c r="L50" i="4"/>
  <c r="DO49" i="4"/>
  <c r="L49" i="4"/>
  <c r="DO48" i="4"/>
  <c r="L48" i="4"/>
  <c r="DO47" i="4"/>
  <c r="L47" i="4"/>
  <c r="DO46" i="4"/>
  <c r="L46" i="4"/>
  <c r="DO45" i="4"/>
  <c r="L45" i="4"/>
  <c r="DO44" i="4"/>
  <c r="L44" i="4"/>
  <c r="DO43" i="4"/>
  <c r="L43" i="4"/>
  <c r="DO42" i="4"/>
  <c r="L42" i="4"/>
  <c r="DO41" i="4"/>
  <c r="L41" i="4"/>
  <c r="DO40" i="4"/>
  <c r="L40" i="4"/>
  <c r="DO39" i="4"/>
  <c r="L39" i="4"/>
  <c r="DO38" i="4"/>
  <c r="L38" i="4"/>
  <c r="DO37" i="4"/>
  <c r="L37" i="4"/>
  <c r="DO36" i="4"/>
  <c r="L36" i="4"/>
  <c r="DO35" i="4"/>
  <c r="L35" i="4"/>
  <c r="DO25" i="4"/>
  <c r="L25" i="4"/>
  <c r="H25" i="4"/>
  <c r="G25" i="4"/>
  <c r="F25" i="4"/>
  <c r="E25" i="4"/>
  <c r="B18" i="4"/>
  <c r="B17" i="4"/>
  <c r="B16" i="4"/>
  <c r="B15" i="4"/>
  <c r="B14" i="4"/>
  <c r="B13" i="4"/>
  <c r="B12" i="4"/>
  <c r="B11" i="4"/>
  <c r="B10" i="4"/>
  <c r="B9" i="4"/>
  <c r="O8" i="4"/>
  <c r="E10" i="7" l="1"/>
  <c r="G10" i="7" s="1"/>
  <c r="E11" i="7" s="1"/>
  <c r="G11" i="7" s="1"/>
  <c r="E12" i="7" s="1"/>
  <c r="G12" i="7" s="1"/>
  <c r="E13" i="7" s="1"/>
  <c r="E5" i="7"/>
  <c r="E5" i="6"/>
  <c r="G10" i="6"/>
  <c r="L12" i="6"/>
  <c r="DO12" i="6" s="1"/>
  <c r="G12" i="6"/>
  <c r="E13" i="6" s="1"/>
  <c r="L11" i="6"/>
  <c r="DO11" i="6" s="1"/>
  <c r="G10" i="4"/>
  <c r="G11" i="4" s="1"/>
  <c r="E12" i="4" s="1"/>
  <c r="G12" i="4" s="1"/>
  <c r="E13" i="4" s="1"/>
  <c r="G13" i="4" s="1"/>
  <c r="E14" i="4" s="1"/>
  <c r="G14" i="4" s="1"/>
  <c r="E15" i="4" s="1"/>
  <c r="G15" i="4" s="1"/>
  <c r="E16" i="4" s="1"/>
  <c r="E5" i="4"/>
  <c r="L9" i="4"/>
  <c r="DO9" i="4" s="1"/>
  <c r="L10" i="4"/>
  <c r="DO10" i="4" s="1"/>
  <c r="L10" i="7" l="1"/>
  <c r="DO10" i="7" s="1"/>
  <c r="G13" i="7"/>
  <c r="E14" i="7" s="1"/>
  <c r="L11" i="7"/>
  <c r="DO11" i="7" s="1"/>
  <c r="L12" i="7"/>
  <c r="DO12" i="7" s="1"/>
  <c r="L11" i="4"/>
  <c r="DO11" i="4" s="1"/>
  <c r="L13" i="6"/>
  <c r="DO13" i="6" s="1"/>
  <c r="G13" i="6"/>
  <c r="E14" i="6" s="1"/>
  <c r="L14" i="4"/>
  <c r="DO14" i="4" s="1"/>
  <c r="L13" i="4"/>
  <c r="DO13" i="4" s="1"/>
  <c r="L12" i="4"/>
  <c r="DO12" i="4" s="1"/>
  <c r="L16" i="4"/>
  <c r="DO16" i="4" s="1"/>
  <c r="G16" i="4"/>
  <c r="E17" i="4" s="1"/>
  <c r="L15" i="4"/>
  <c r="DO15" i="4" s="1"/>
  <c r="G14" i="7" l="1"/>
  <c r="E15" i="7" s="1"/>
  <c r="L13" i="7"/>
  <c r="C6" i="4"/>
  <c r="C12" i="1" s="1"/>
  <c r="L14" i="6"/>
  <c r="DO14" i="6" s="1"/>
  <c r="G14" i="6"/>
  <c r="E15" i="6" s="1"/>
  <c r="G17" i="4"/>
  <c r="E18" i="4" s="1"/>
  <c r="L17" i="4"/>
  <c r="DO17" i="4" s="1"/>
  <c r="L14" i="7" l="1"/>
  <c r="DO14" i="7" s="1"/>
  <c r="DO13" i="7"/>
  <c r="G15" i="7"/>
  <c r="L15" i="6"/>
  <c r="DO15" i="6" s="1"/>
  <c r="G15" i="6"/>
  <c r="G18" i="4"/>
  <c r="E19" i="4" s="1"/>
  <c r="G19" i="4" s="1"/>
  <c r="L18" i="4"/>
  <c r="DO18" i="4" s="1"/>
  <c r="E5" i="2"/>
  <c r="E12" i="1" s="1"/>
  <c r="E16" i="7" l="1"/>
  <c r="L15" i="7"/>
  <c r="E16" i="6"/>
  <c r="E20" i="4"/>
  <c r="G20" i="4" s="1"/>
  <c r="L19" i="4"/>
  <c r="DO19" i="4" s="1"/>
  <c r="E9" i="2"/>
  <c r="G9" i="2" s="1"/>
  <c r="E11" i="1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19" i="2"/>
  <c r="L13" i="2"/>
  <c r="L12" i="2"/>
  <c r="L11" i="2"/>
  <c r="L10" i="2"/>
  <c r="L9" i="2"/>
  <c r="DO90" i="2"/>
  <c r="DO89" i="2"/>
  <c r="DO88" i="2"/>
  <c r="DO87" i="2"/>
  <c r="DO86" i="2"/>
  <c r="DO85" i="2"/>
  <c r="DO84" i="2"/>
  <c r="DO83" i="2"/>
  <c r="DO82" i="2"/>
  <c r="DO81" i="2"/>
  <c r="DO80" i="2"/>
  <c r="DO79" i="2"/>
  <c r="DO78" i="2"/>
  <c r="DO77" i="2"/>
  <c r="DO76" i="2"/>
  <c r="DO75" i="2"/>
  <c r="DO74" i="2"/>
  <c r="DO73" i="2"/>
  <c r="DO72" i="2"/>
  <c r="DO71" i="2"/>
  <c r="DO70" i="2"/>
  <c r="DO69" i="2"/>
  <c r="DO68" i="2"/>
  <c r="DO67" i="2"/>
  <c r="DO66" i="2"/>
  <c r="DO65" i="2"/>
  <c r="DO64" i="2"/>
  <c r="DO63" i="2"/>
  <c r="DO62" i="2"/>
  <c r="DO61" i="2"/>
  <c r="DO60" i="2"/>
  <c r="DO59" i="2"/>
  <c r="DO58" i="2"/>
  <c r="DO57" i="2"/>
  <c r="DO56" i="2"/>
  <c r="DO55" i="2"/>
  <c r="DO54" i="2"/>
  <c r="DO53" i="2"/>
  <c r="DO52" i="2"/>
  <c r="DO51" i="2"/>
  <c r="DO50" i="2"/>
  <c r="DO49" i="2"/>
  <c r="DO48" i="2"/>
  <c r="DO47" i="2"/>
  <c r="DO46" i="2"/>
  <c r="DO45" i="2"/>
  <c r="DO44" i="2"/>
  <c r="DO43" i="2"/>
  <c r="DO42" i="2"/>
  <c r="DO41" i="2"/>
  <c r="DO40" i="2"/>
  <c r="DO39" i="2"/>
  <c r="DO38" i="2"/>
  <c r="DO37" i="2"/>
  <c r="DO36" i="2"/>
  <c r="DO35" i="2"/>
  <c r="DO34" i="2"/>
  <c r="DO33" i="2"/>
  <c r="DO32" i="2"/>
  <c r="DO31" i="2"/>
  <c r="DO30" i="2"/>
  <c r="DO29" i="2"/>
  <c r="DO19" i="2"/>
  <c r="O8" i="2"/>
  <c r="H19" i="2"/>
  <c r="G19" i="2"/>
  <c r="F19" i="2"/>
  <c r="E19" i="2"/>
  <c r="B19" i="2"/>
  <c r="B18" i="2"/>
  <c r="B17" i="2"/>
  <c r="B16" i="2"/>
  <c r="B15" i="2"/>
  <c r="B14" i="2"/>
  <c r="B13" i="2"/>
  <c r="B12" i="2"/>
  <c r="B11" i="2"/>
  <c r="B10" i="2"/>
  <c r="B9" i="2"/>
  <c r="B11" i="1"/>
  <c r="H3" i="1"/>
  <c r="DO15" i="7" l="1"/>
  <c r="G16" i="7"/>
  <c r="L16" i="6"/>
  <c r="DO16" i="6" s="1"/>
  <c r="G16" i="6"/>
  <c r="G10" i="2"/>
  <c r="B6" i="1"/>
  <c r="E17" i="7" l="1"/>
  <c r="L16" i="7"/>
  <c r="E17" i="6"/>
  <c r="L20" i="4"/>
  <c r="DO20" i="4" s="1"/>
  <c r="E21" i="4"/>
  <c r="G21" i="4" s="1"/>
  <c r="DO9" i="2"/>
  <c r="E11" i="2"/>
  <c r="G11" i="2" s="1"/>
  <c r="G6" i="1"/>
  <c r="DO16" i="7" l="1"/>
  <c r="G17" i="7"/>
  <c r="L17" i="6"/>
  <c r="DO17" i="6" s="1"/>
  <c r="G17" i="6"/>
  <c r="E18" i="6" s="1"/>
  <c r="L21" i="4"/>
  <c r="DO21" i="4" s="1"/>
  <c r="G12" i="2"/>
  <c r="E13" i="2" s="1"/>
  <c r="DO11" i="2"/>
  <c r="DO10" i="2"/>
  <c r="E18" i="7" l="1"/>
  <c r="L17" i="7"/>
  <c r="L18" i="6"/>
  <c r="DO18" i="6" s="1"/>
  <c r="G18" i="6"/>
  <c r="E19" i="6" s="1"/>
  <c r="E22" i="4"/>
  <c r="L22" i="4" s="1"/>
  <c r="G13" i="2"/>
  <c r="E14" i="2" s="1"/>
  <c r="DO17" i="7" l="1"/>
  <c r="G18" i="7"/>
  <c r="E19" i="7" s="1"/>
  <c r="L19" i="6"/>
  <c r="DO19" i="6" s="1"/>
  <c r="G19" i="6"/>
  <c r="E20" i="6" s="1"/>
  <c r="G22" i="4"/>
  <c r="E23" i="4" s="1"/>
  <c r="DO22" i="4"/>
  <c r="DO12" i="2"/>
  <c r="G14" i="2"/>
  <c r="L14" i="2" s="1"/>
  <c r="DO13" i="2"/>
  <c r="L18" i="7" l="1"/>
  <c r="DO18" i="7" s="1"/>
  <c r="G19" i="7"/>
  <c r="E20" i="7" s="1"/>
  <c r="L20" i="6"/>
  <c r="DO20" i="6" s="1"/>
  <c r="G20" i="6"/>
  <c r="E21" i="6" s="1"/>
  <c r="G23" i="4"/>
  <c r="E24" i="4" s="1"/>
  <c r="L23" i="4"/>
  <c r="E15" i="2"/>
  <c r="DO14" i="2"/>
  <c r="G20" i="7" l="1"/>
  <c r="E21" i="7" s="1"/>
  <c r="L19" i="7"/>
  <c r="DO19" i="7" s="1"/>
  <c r="L21" i="6"/>
  <c r="DO21" i="6" s="1"/>
  <c r="G21" i="6"/>
  <c r="E22" i="6" s="1"/>
  <c r="DO23" i="4"/>
  <c r="G15" i="2"/>
  <c r="L15" i="2" s="1"/>
  <c r="DO15" i="2" s="1"/>
  <c r="L20" i="7" l="1"/>
  <c r="DO20" i="7" s="1"/>
  <c r="G21" i="7"/>
  <c r="E22" i="7" s="1"/>
  <c r="L22" i="6"/>
  <c r="DO22" i="6" s="1"/>
  <c r="G22" i="6"/>
  <c r="E23" i="6" s="1"/>
  <c r="L24" i="4"/>
  <c r="D5" i="4"/>
  <c r="E16" i="2"/>
  <c r="G22" i="7" l="1"/>
  <c r="E23" i="7" s="1"/>
  <c r="L21" i="7"/>
  <c r="DO21" i="7" s="1"/>
  <c r="L23" i="6"/>
  <c r="DO23" i="6" s="1"/>
  <c r="G23" i="6"/>
  <c r="E24" i="6" s="1"/>
  <c r="F12" i="1"/>
  <c r="H5" i="4"/>
  <c r="P8" i="4"/>
  <c r="Q8" i="4" s="1"/>
  <c r="R8" i="4" s="1"/>
  <c r="S8" i="4" s="1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AF8" i="4" s="1"/>
  <c r="AG8" i="4" s="1"/>
  <c r="AH8" i="4" s="1"/>
  <c r="AI8" i="4" s="1"/>
  <c r="AJ8" i="4" s="1"/>
  <c r="AK8" i="4" s="1"/>
  <c r="AL8" i="4" s="1"/>
  <c r="AM8" i="4" s="1"/>
  <c r="AN8" i="4" s="1"/>
  <c r="AO8" i="4" s="1"/>
  <c r="AP8" i="4" s="1"/>
  <c r="AQ8" i="4" s="1"/>
  <c r="AR8" i="4" s="1"/>
  <c r="AS8" i="4" s="1"/>
  <c r="AT8" i="4" s="1"/>
  <c r="AU8" i="4" s="1"/>
  <c r="AV8" i="4" s="1"/>
  <c r="AW8" i="4" s="1"/>
  <c r="AX8" i="4" s="1"/>
  <c r="AY8" i="4" s="1"/>
  <c r="AZ8" i="4" s="1"/>
  <c r="BA8" i="4" s="1"/>
  <c r="BB8" i="4" s="1"/>
  <c r="BC8" i="4" s="1"/>
  <c r="BD8" i="4" s="1"/>
  <c r="BE8" i="4" s="1"/>
  <c r="BF8" i="4" s="1"/>
  <c r="BG8" i="4" s="1"/>
  <c r="BH8" i="4" s="1"/>
  <c r="BI8" i="4" s="1"/>
  <c r="BJ8" i="4" s="1"/>
  <c r="BK8" i="4" s="1"/>
  <c r="BL8" i="4" s="1"/>
  <c r="BM8" i="4" s="1"/>
  <c r="BN8" i="4" s="1"/>
  <c r="BO8" i="4" s="1"/>
  <c r="BP8" i="4" s="1"/>
  <c r="BQ8" i="4" s="1"/>
  <c r="BR8" i="4" s="1"/>
  <c r="BS8" i="4" s="1"/>
  <c r="BT8" i="4" s="1"/>
  <c r="BU8" i="4" s="1"/>
  <c r="BV8" i="4" s="1"/>
  <c r="BW8" i="4" s="1"/>
  <c r="BX8" i="4" s="1"/>
  <c r="BY8" i="4" s="1"/>
  <c r="BZ8" i="4" s="1"/>
  <c r="CA8" i="4" s="1"/>
  <c r="CB8" i="4" s="1"/>
  <c r="CC8" i="4" s="1"/>
  <c r="CD8" i="4" s="1"/>
  <c r="CE8" i="4" s="1"/>
  <c r="CF8" i="4" s="1"/>
  <c r="CG8" i="4" s="1"/>
  <c r="CH8" i="4" s="1"/>
  <c r="CI8" i="4" s="1"/>
  <c r="CJ8" i="4" s="1"/>
  <c r="CK8" i="4" s="1"/>
  <c r="CL8" i="4" s="1"/>
  <c r="CM8" i="4" s="1"/>
  <c r="CN8" i="4" s="1"/>
  <c r="CO8" i="4" s="1"/>
  <c r="CP8" i="4" s="1"/>
  <c r="CQ8" i="4" s="1"/>
  <c r="CR8" i="4" s="1"/>
  <c r="CS8" i="4" s="1"/>
  <c r="CT8" i="4" s="1"/>
  <c r="CU8" i="4" s="1"/>
  <c r="CV8" i="4" s="1"/>
  <c r="CW8" i="4" s="1"/>
  <c r="CX8" i="4" s="1"/>
  <c r="CY8" i="4" s="1"/>
  <c r="CZ8" i="4" s="1"/>
  <c r="DA8" i="4" s="1"/>
  <c r="DB8" i="4" s="1"/>
  <c r="DC8" i="4" s="1"/>
  <c r="DD8" i="4" s="1"/>
  <c r="DE8" i="4" s="1"/>
  <c r="DF8" i="4" s="1"/>
  <c r="DG8" i="4" s="1"/>
  <c r="DH8" i="4" s="1"/>
  <c r="DI8" i="4" s="1"/>
  <c r="DJ8" i="4" s="1"/>
  <c r="DK8" i="4" s="1"/>
  <c r="DL8" i="4" s="1"/>
  <c r="DM8" i="4" s="1"/>
  <c r="DN8" i="4" s="1"/>
  <c r="DO24" i="4"/>
  <c r="G5" i="4"/>
  <c r="H12" i="1" s="1"/>
  <c r="G16" i="2"/>
  <c r="E17" i="2" s="1"/>
  <c r="G23" i="7" l="1"/>
  <c r="D5" i="7" s="1"/>
  <c r="L22" i="7"/>
  <c r="DO22" i="7" s="1"/>
  <c r="L24" i="6"/>
  <c r="G24" i="6"/>
  <c r="D5" i="6" s="1"/>
  <c r="L16" i="2"/>
  <c r="DO16" i="2" s="1"/>
  <c r="G17" i="2"/>
  <c r="E18" i="2" s="1"/>
  <c r="L23" i="7" l="1"/>
  <c r="DO23" i="7" s="1"/>
  <c r="C6" i="7" s="1"/>
  <c r="H5" i="7"/>
  <c r="P8" i="7"/>
  <c r="Q8" i="7" s="1"/>
  <c r="R8" i="7" s="1"/>
  <c r="S8" i="7" s="1"/>
  <c r="T8" i="7" s="1"/>
  <c r="U8" i="7" s="1"/>
  <c r="V8" i="7" s="1"/>
  <c r="W8" i="7" s="1"/>
  <c r="X8" i="7" s="1"/>
  <c r="Y8" i="7" s="1"/>
  <c r="Z8" i="7" s="1"/>
  <c r="AA8" i="7" s="1"/>
  <c r="AB8" i="7" s="1"/>
  <c r="AC8" i="7" s="1"/>
  <c r="AD8" i="7" s="1"/>
  <c r="AE8" i="7" s="1"/>
  <c r="AF8" i="7" s="1"/>
  <c r="AG8" i="7" s="1"/>
  <c r="AH8" i="7" s="1"/>
  <c r="AI8" i="7" s="1"/>
  <c r="AJ8" i="7" s="1"/>
  <c r="AK8" i="7" s="1"/>
  <c r="AL8" i="7" s="1"/>
  <c r="AM8" i="7" s="1"/>
  <c r="AN8" i="7" s="1"/>
  <c r="AO8" i="7" s="1"/>
  <c r="AP8" i="7" s="1"/>
  <c r="AQ8" i="7" s="1"/>
  <c r="AR8" i="7" s="1"/>
  <c r="AS8" i="7" s="1"/>
  <c r="AT8" i="7" s="1"/>
  <c r="AU8" i="7" s="1"/>
  <c r="AV8" i="7" s="1"/>
  <c r="AW8" i="7" s="1"/>
  <c r="AX8" i="7" s="1"/>
  <c r="AY8" i="7" s="1"/>
  <c r="AZ8" i="7" s="1"/>
  <c r="BA8" i="7" s="1"/>
  <c r="BB8" i="7" s="1"/>
  <c r="BC8" i="7" s="1"/>
  <c r="BD8" i="7" s="1"/>
  <c r="BE8" i="7" s="1"/>
  <c r="BF8" i="7" s="1"/>
  <c r="BG8" i="7" s="1"/>
  <c r="BH8" i="7" s="1"/>
  <c r="BI8" i="7" s="1"/>
  <c r="BJ8" i="7" s="1"/>
  <c r="BK8" i="7" s="1"/>
  <c r="BL8" i="7" s="1"/>
  <c r="BM8" i="7" s="1"/>
  <c r="BN8" i="7" s="1"/>
  <c r="BO8" i="7" s="1"/>
  <c r="BP8" i="7" s="1"/>
  <c r="BQ8" i="7" s="1"/>
  <c r="BR8" i="7" s="1"/>
  <c r="BS8" i="7" s="1"/>
  <c r="BT8" i="7" s="1"/>
  <c r="BU8" i="7" s="1"/>
  <c r="BV8" i="7" s="1"/>
  <c r="BW8" i="7" s="1"/>
  <c r="BX8" i="7" s="1"/>
  <c r="BY8" i="7" s="1"/>
  <c r="BZ8" i="7" s="1"/>
  <c r="CA8" i="7" s="1"/>
  <c r="CB8" i="7" s="1"/>
  <c r="CC8" i="7" s="1"/>
  <c r="CD8" i="7" s="1"/>
  <c r="CE8" i="7" s="1"/>
  <c r="CF8" i="7" s="1"/>
  <c r="CG8" i="7" s="1"/>
  <c r="CH8" i="7" s="1"/>
  <c r="CI8" i="7" s="1"/>
  <c r="CJ8" i="7" s="1"/>
  <c r="CK8" i="7" s="1"/>
  <c r="CL8" i="7" s="1"/>
  <c r="CM8" i="7" s="1"/>
  <c r="CN8" i="7" s="1"/>
  <c r="CO8" i="7" s="1"/>
  <c r="CP8" i="7" s="1"/>
  <c r="CQ8" i="7" s="1"/>
  <c r="CR8" i="7" s="1"/>
  <c r="CS8" i="7" s="1"/>
  <c r="CT8" i="7" s="1"/>
  <c r="CU8" i="7" s="1"/>
  <c r="CV8" i="7" s="1"/>
  <c r="CW8" i="7" s="1"/>
  <c r="CX8" i="7" s="1"/>
  <c r="CY8" i="7" s="1"/>
  <c r="CZ8" i="7" s="1"/>
  <c r="DA8" i="7" s="1"/>
  <c r="DB8" i="7" s="1"/>
  <c r="DC8" i="7" s="1"/>
  <c r="DD8" i="7" s="1"/>
  <c r="DE8" i="7" s="1"/>
  <c r="DF8" i="7" s="1"/>
  <c r="DG8" i="7" s="1"/>
  <c r="DH8" i="7" s="1"/>
  <c r="DI8" i="7" s="1"/>
  <c r="DJ8" i="7" s="1"/>
  <c r="DK8" i="7" s="1"/>
  <c r="DL8" i="7" s="1"/>
  <c r="DM8" i="7" s="1"/>
  <c r="DN8" i="7" s="1"/>
  <c r="H5" i="6"/>
  <c r="P8" i="6"/>
  <c r="Q8" i="6" s="1"/>
  <c r="R8" i="6" s="1"/>
  <c r="S8" i="6" s="1"/>
  <c r="T8" i="6" s="1"/>
  <c r="U8" i="6" s="1"/>
  <c r="V8" i="6" s="1"/>
  <c r="W8" i="6" s="1"/>
  <c r="X8" i="6" s="1"/>
  <c r="Y8" i="6" s="1"/>
  <c r="Z8" i="6" s="1"/>
  <c r="AA8" i="6" s="1"/>
  <c r="AB8" i="6" s="1"/>
  <c r="AC8" i="6" s="1"/>
  <c r="AD8" i="6" s="1"/>
  <c r="AE8" i="6" s="1"/>
  <c r="AF8" i="6" s="1"/>
  <c r="AG8" i="6" s="1"/>
  <c r="AH8" i="6" s="1"/>
  <c r="AI8" i="6" s="1"/>
  <c r="AJ8" i="6" s="1"/>
  <c r="AK8" i="6" s="1"/>
  <c r="AL8" i="6" s="1"/>
  <c r="AM8" i="6" s="1"/>
  <c r="AN8" i="6" s="1"/>
  <c r="AO8" i="6" s="1"/>
  <c r="AP8" i="6" s="1"/>
  <c r="AQ8" i="6" s="1"/>
  <c r="AR8" i="6" s="1"/>
  <c r="AS8" i="6" s="1"/>
  <c r="AT8" i="6" s="1"/>
  <c r="AU8" i="6" s="1"/>
  <c r="AV8" i="6" s="1"/>
  <c r="AW8" i="6" s="1"/>
  <c r="AX8" i="6" s="1"/>
  <c r="AY8" i="6" s="1"/>
  <c r="AZ8" i="6" s="1"/>
  <c r="BA8" i="6" s="1"/>
  <c r="BB8" i="6" s="1"/>
  <c r="BC8" i="6" s="1"/>
  <c r="BD8" i="6" s="1"/>
  <c r="BE8" i="6" s="1"/>
  <c r="BF8" i="6" s="1"/>
  <c r="BG8" i="6" s="1"/>
  <c r="BH8" i="6" s="1"/>
  <c r="BI8" i="6" s="1"/>
  <c r="BJ8" i="6" s="1"/>
  <c r="BK8" i="6" s="1"/>
  <c r="BL8" i="6" s="1"/>
  <c r="BM8" i="6" s="1"/>
  <c r="BN8" i="6" s="1"/>
  <c r="BO8" i="6" s="1"/>
  <c r="BP8" i="6" s="1"/>
  <c r="BQ8" i="6" s="1"/>
  <c r="BR8" i="6" s="1"/>
  <c r="BS8" i="6" s="1"/>
  <c r="BT8" i="6" s="1"/>
  <c r="BU8" i="6" s="1"/>
  <c r="BV8" i="6" s="1"/>
  <c r="BW8" i="6" s="1"/>
  <c r="BX8" i="6" s="1"/>
  <c r="BY8" i="6" s="1"/>
  <c r="BZ8" i="6" s="1"/>
  <c r="CA8" i="6" s="1"/>
  <c r="CB8" i="6" s="1"/>
  <c r="CC8" i="6" s="1"/>
  <c r="CD8" i="6" s="1"/>
  <c r="CE8" i="6" s="1"/>
  <c r="CF8" i="6" s="1"/>
  <c r="CG8" i="6" s="1"/>
  <c r="CH8" i="6" s="1"/>
  <c r="CI8" i="6" s="1"/>
  <c r="CJ8" i="6" s="1"/>
  <c r="CK8" i="6" s="1"/>
  <c r="CL8" i="6" s="1"/>
  <c r="CM8" i="6" s="1"/>
  <c r="CN8" i="6" s="1"/>
  <c r="CO8" i="6" s="1"/>
  <c r="CP8" i="6" s="1"/>
  <c r="CQ8" i="6" s="1"/>
  <c r="CR8" i="6" s="1"/>
  <c r="CS8" i="6" s="1"/>
  <c r="CT8" i="6" s="1"/>
  <c r="CU8" i="6" s="1"/>
  <c r="CV8" i="6" s="1"/>
  <c r="CW8" i="6" s="1"/>
  <c r="CX8" i="6" s="1"/>
  <c r="CY8" i="6" s="1"/>
  <c r="CZ8" i="6" s="1"/>
  <c r="DA8" i="6" s="1"/>
  <c r="DB8" i="6" s="1"/>
  <c r="DC8" i="6" s="1"/>
  <c r="DD8" i="6" s="1"/>
  <c r="DE8" i="6" s="1"/>
  <c r="DF8" i="6" s="1"/>
  <c r="DG8" i="6" s="1"/>
  <c r="DH8" i="6" s="1"/>
  <c r="DI8" i="6" s="1"/>
  <c r="DJ8" i="6" s="1"/>
  <c r="DK8" i="6" s="1"/>
  <c r="DL8" i="6" s="1"/>
  <c r="DM8" i="6" s="1"/>
  <c r="DN8" i="6" s="1"/>
  <c r="DO24" i="6"/>
  <c r="C6" i="6" s="1"/>
  <c r="G5" i="6"/>
  <c r="L17" i="2"/>
  <c r="DO17" i="2" s="1"/>
  <c r="G5" i="7" l="1"/>
  <c r="L18" i="2"/>
  <c r="DO18" i="2" l="1"/>
  <c r="C6" i="2" s="1"/>
  <c r="C11" i="1" s="1"/>
  <c r="G5" i="2"/>
  <c r="D5" i="2"/>
  <c r="H5" i="2" l="1"/>
  <c r="G12" i="1"/>
  <c r="H11" i="1"/>
  <c r="P8" i="2"/>
  <c r="Q8" i="2" s="1"/>
  <c r="R8" i="2" s="1"/>
  <c r="S8" i="2" s="1"/>
  <c r="T8" i="2" s="1"/>
  <c r="U8" i="2" s="1"/>
  <c r="V8" i="2" s="1"/>
  <c r="W8" i="2" s="1"/>
  <c r="X8" i="2" s="1"/>
  <c r="Y8" i="2" s="1"/>
  <c r="Z8" i="2" s="1"/>
  <c r="AA8" i="2" s="1"/>
  <c r="AB8" i="2" s="1"/>
  <c r="AC8" i="2" s="1"/>
  <c r="AD8" i="2" s="1"/>
  <c r="AE8" i="2" s="1"/>
  <c r="AF8" i="2" s="1"/>
  <c r="AG8" i="2" s="1"/>
  <c r="AH8" i="2" s="1"/>
  <c r="AI8" i="2" s="1"/>
  <c r="AJ8" i="2" s="1"/>
  <c r="AK8" i="2" s="1"/>
  <c r="AL8" i="2" s="1"/>
  <c r="AM8" i="2" s="1"/>
  <c r="AN8" i="2" s="1"/>
  <c r="AO8" i="2" s="1"/>
  <c r="AP8" i="2" s="1"/>
  <c r="AQ8" i="2" s="1"/>
  <c r="AR8" i="2" s="1"/>
  <c r="AS8" i="2" s="1"/>
  <c r="AT8" i="2" s="1"/>
  <c r="AU8" i="2" s="1"/>
  <c r="AV8" i="2" s="1"/>
  <c r="AW8" i="2" s="1"/>
  <c r="AX8" i="2" s="1"/>
  <c r="AY8" i="2" s="1"/>
  <c r="AZ8" i="2" s="1"/>
  <c r="BA8" i="2" s="1"/>
  <c r="BB8" i="2" s="1"/>
  <c r="BC8" i="2" s="1"/>
  <c r="BD8" i="2" s="1"/>
  <c r="BE8" i="2" s="1"/>
  <c r="BF8" i="2" s="1"/>
  <c r="BG8" i="2" s="1"/>
  <c r="BH8" i="2" s="1"/>
  <c r="BI8" i="2" s="1"/>
  <c r="BJ8" i="2" s="1"/>
  <c r="BK8" i="2" s="1"/>
  <c r="BL8" i="2" s="1"/>
  <c r="BM8" i="2" s="1"/>
  <c r="BN8" i="2" s="1"/>
  <c r="BO8" i="2" s="1"/>
  <c r="BP8" i="2" s="1"/>
  <c r="BQ8" i="2" s="1"/>
  <c r="BR8" i="2" s="1"/>
  <c r="BS8" i="2" s="1"/>
  <c r="BT8" i="2" s="1"/>
  <c r="BU8" i="2" s="1"/>
  <c r="BV8" i="2" s="1"/>
  <c r="BW8" i="2" s="1"/>
  <c r="BX8" i="2" s="1"/>
  <c r="BY8" i="2" s="1"/>
  <c r="BZ8" i="2" s="1"/>
  <c r="CA8" i="2" s="1"/>
  <c r="CB8" i="2" s="1"/>
  <c r="CC8" i="2" s="1"/>
  <c r="CD8" i="2" s="1"/>
  <c r="CE8" i="2" s="1"/>
  <c r="CF8" i="2" s="1"/>
  <c r="CG8" i="2" s="1"/>
  <c r="CH8" i="2" s="1"/>
  <c r="CI8" i="2" s="1"/>
  <c r="CJ8" i="2" s="1"/>
  <c r="CK8" i="2" s="1"/>
  <c r="CL8" i="2" s="1"/>
  <c r="CM8" i="2" s="1"/>
  <c r="CN8" i="2" s="1"/>
  <c r="CO8" i="2" s="1"/>
  <c r="CP8" i="2" s="1"/>
  <c r="CQ8" i="2" s="1"/>
  <c r="CR8" i="2" s="1"/>
  <c r="CS8" i="2" s="1"/>
  <c r="CT8" i="2" s="1"/>
  <c r="CU8" i="2" s="1"/>
  <c r="CV8" i="2" s="1"/>
  <c r="CW8" i="2" s="1"/>
  <c r="CX8" i="2" s="1"/>
  <c r="CY8" i="2" s="1"/>
  <c r="CZ8" i="2" s="1"/>
  <c r="DA8" i="2" s="1"/>
  <c r="DB8" i="2" s="1"/>
  <c r="DC8" i="2" s="1"/>
  <c r="DD8" i="2" s="1"/>
  <c r="DE8" i="2" s="1"/>
  <c r="DF8" i="2" s="1"/>
  <c r="DG8" i="2" s="1"/>
  <c r="DH8" i="2" s="1"/>
  <c r="DI8" i="2" s="1"/>
  <c r="DJ8" i="2" s="1"/>
  <c r="DK8" i="2" s="1"/>
  <c r="DL8" i="2" s="1"/>
  <c r="DM8" i="2" s="1"/>
  <c r="DN8" i="2" s="1"/>
  <c r="F11" i="1"/>
  <c r="G11" i="1" s="1"/>
  <c r="E6" i="1" l="1"/>
  <c r="C6" i="1"/>
  <c r="I6" i="1" l="1"/>
</calcChain>
</file>

<file path=xl/sharedStrings.xml><?xml version="1.0" encoding="utf-8"?>
<sst xmlns="http://schemas.openxmlformats.org/spreadsheetml/2006/main" count="231" uniqueCount="100">
  <si>
    <t>ACTIVE PROGRAMS</t>
  </si>
  <si>
    <t>ON TRACK</t>
  </si>
  <si>
    <t>BEHIND – NEEDS ATTENTION</t>
  </si>
  <si>
    <t>AVG COMPLETION</t>
  </si>
  <si>
    <t>NEAREST DELIVERY</t>
  </si>
  <si>
    <t>parts in development</t>
  </si>
  <si>
    <t>on or ahead of plan</t>
  </si>
  <si>
    <t>slipping vs schedule</t>
  </si>
  <si>
    <t>portfolio progress</t>
  </si>
  <si>
    <t>next part due</t>
  </si>
  <si>
    <t>PORTFOLIO</t>
  </si>
  <si>
    <t>Part / Program</t>
  </si>
  <si>
    <t>Current Phase</t>
  </si>
  <si>
    <t>Program Mgr</t>
  </si>
  <si>
    <t>Progress</t>
  </si>
  <si>
    <t>Target Delivery</t>
  </si>
  <si>
    <t>Days Left</t>
  </si>
  <si>
    <t>Status</t>
  </si>
  <si>
    <t>PROGRAM START</t>
  </si>
  <si>
    <t>TARGET DELIVERY</t>
  </si>
  <si>
    <t>OVERALL PROGRESS</t>
  </si>
  <si>
    <t>SCHEDULE STATUS</t>
  </si>
  <si>
    <t>DAYS TO DELIVERY</t>
  </si>
  <si>
    <t>TASK</t>
  </si>
  <si>
    <t>ID</t>
  </si>
  <si>
    <t>Task Title</t>
  </si>
  <si>
    <t>Phase</t>
  </si>
  <si>
    <t>Start Date</t>
  </si>
  <si>
    <t>Orig.
Start</t>
  </si>
  <si>
    <t>End Date</t>
  </si>
  <si>
    <t>Orig.
End</t>
  </si>
  <si>
    <t>% Complete</t>
  </si>
  <si>
    <t>Notes</t>
  </si>
  <si>
    <t>Tooling</t>
  </si>
  <si>
    <t>Quality</t>
  </si>
  <si>
    <t>Estimated
Duration</t>
  </si>
  <si>
    <t>Actual
Duration</t>
  </si>
  <si>
    <t>Select a target row and use Add Step Above.</t>
  </si>
  <si>
    <t>‹  Program Dashboard</t>
  </si>
  <si>
    <t>184K334H01</t>
  </si>
  <si>
    <t>Stage 2 Tooling Design</t>
  </si>
  <si>
    <t>Stage 2 Tooling Fabrication</t>
  </si>
  <si>
    <t>Recut Stage 1 Tooling</t>
  </si>
  <si>
    <t>Trial and Testing of Molds</t>
  </si>
  <si>
    <t>Rubber Mold FA</t>
  </si>
  <si>
    <t>Rubber Mold first 10 pieces</t>
  </si>
  <si>
    <t>Trim and Deflash FA</t>
  </si>
  <si>
    <t>Trim and Deflash First 10</t>
  </si>
  <si>
    <t>Final Review and Quality</t>
  </si>
  <si>
    <t>Shipping</t>
  </si>
  <si>
    <t>Testing</t>
  </si>
  <si>
    <t>Production</t>
  </si>
  <si>
    <t>Design Complete (tooling in process)</t>
  </si>
  <si>
    <t>Tool 2 Complete</t>
  </si>
  <si>
    <t>Initial recut complete, in testing</t>
  </si>
  <si>
    <t>Complete</t>
  </si>
  <si>
    <t>12 pieces complete and in trim</t>
  </si>
  <si>
    <t>F/A Complete</t>
  </si>
  <si>
    <t>12 pieces in Trim</t>
  </si>
  <si>
    <t>F/A approved - pending production lot</t>
  </si>
  <si>
    <t>New Product Development — Project Dashboard</t>
  </si>
  <si>
    <t>Son-Aero</t>
  </si>
  <si>
    <t>Josh Greer</t>
  </si>
  <si>
    <t>1TD1351A10015-1010</t>
  </si>
  <si>
    <t>Update Process Plan from Kiva</t>
  </si>
  <si>
    <t>Process Plan Approval</t>
  </si>
  <si>
    <t xml:space="preserve"> -4022 subcomponents</t>
  </si>
  <si>
    <t>Assembly CNC FA</t>
  </si>
  <si>
    <t>Assembly CNC Production</t>
  </si>
  <si>
    <t>Bonding FA</t>
  </si>
  <si>
    <t>Bonding Production</t>
  </si>
  <si>
    <t>Assembly CNC FA 2</t>
  </si>
  <si>
    <t>Assembly CNC Production 2</t>
  </si>
  <si>
    <t>Gasket Cut FA</t>
  </si>
  <si>
    <t>Gasket Cut Production</t>
  </si>
  <si>
    <t>Bonding 2 FA</t>
  </si>
  <si>
    <t>Bonding 2 Production</t>
  </si>
  <si>
    <t>Final QA FA</t>
  </si>
  <si>
    <t>Final QA Production</t>
  </si>
  <si>
    <t>Planning</t>
  </si>
  <si>
    <t>NGC Approval</t>
  </si>
  <si>
    <t>Part Number Here</t>
  </si>
  <si>
    <t>Waterjet Production</t>
  </si>
  <si>
    <t>QA First piece Inspection</t>
  </si>
  <si>
    <t>CNC PRODUCTION</t>
  </si>
  <si>
    <t>QA Production Inspection</t>
  </si>
  <si>
    <t>ID &amp; Pack</t>
  </si>
  <si>
    <t>QA Final Inspection</t>
  </si>
  <si>
    <t>CNC FA</t>
  </si>
  <si>
    <t>CNC F/A Test</t>
  </si>
  <si>
    <t>CNC PRODUCTION # 2</t>
  </si>
  <si>
    <t>QA Production Inspection #2</t>
  </si>
  <si>
    <t>Deburr F/A</t>
  </si>
  <si>
    <t>Deburr Production</t>
  </si>
  <si>
    <t>Estimated
Start</t>
  </si>
  <si>
    <t>Estimated
End</t>
  </si>
  <si>
    <t>1TD1351A10015-1009</t>
  </si>
  <si>
    <t>4021 parts and plan from Kiva</t>
  </si>
  <si>
    <t xml:space="preserve"> -4021 subcomponents</t>
  </si>
  <si>
    <t>Tooling / Design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</si>
</sst>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-mmm\-yyyy"/>
    <numFmt numFmtId="165" formatCode="mm\-dd"/>
    <numFmt numFmtId="166" formatCode="&quot;Updated &quot;dd\-mmm\-yyyy"/>
    <numFmt numFmtId="167" formatCode="dd\-mmm\-yy"/>
    <numFmt numFmtId="168" formatCode="0\ &quot;days&quot;"/>
    <numFmt numFmtId="169" formatCode="dd\-mmm"/>
  </numFmts>
  <fonts count="29" x14ac:knownFonts="1">
    <font>
      <sz val="11"/>
      <color theme="1"/>
      <name val="Calibri"/>
      <family val="2"/>
      <scheme val="minor"/>
    </font>
    <font>
      <b/>
      <sz val="9"/>
      <color rgb="FF2563EB"/>
      <name val="Segoe UI"/>
    </font>
    <font>
      <b/>
      <sz val="8"/>
      <color rgb="FF64748B"/>
      <name val="Segoe UI"/>
    </font>
    <font>
      <b/>
      <sz val="11"/>
      <color rgb="FF0F1E2E"/>
      <name val="Segoe UI"/>
    </font>
    <font>
      <b/>
      <sz val="10"/>
      <color rgb="FF0F1E2E"/>
      <name val="Segoe UI"/>
    </font>
    <font>
      <b/>
      <sz val="9"/>
      <color rgb="FFFFFFFF"/>
      <name val="Segoe UI"/>
    </font>
    <font>
      <sz val="9"/>
      <color rgb="FF64748B"/>
      <name val="Segoe UI"/>
    </font>
    <font>
      <sz val="9"/>
      <color rgb="FF0F1E2E"/>
      <name val="Segoe UI"/>
    </font>
    <font>
      <sz val="9"/>
      <color rgb="FF334155"/>
      <name val="Segoe UI"/>
    </font>
    <font>
      <b/>
      <sz val="9"/>
      <color rgb="FF334155"/>
      <name val="Segoe UI"/>
    </font>
    <font>
      <sz val="8"/>
      <color rgb="FF64748B"/>
      <name val="Segoe UI"/>
    </font>
    <font>
      <b/>
      <sz val="22"/>
      <color rgb="FF0F1E2E"/>
      <name val="Segoe UI"/>
    </font>
    <font>
      <b/>
      <sz val="22"/>
      <color rgb="FF059669"/>
      <name val="Segoe UI"/>
    </font>
    <font>
      <b/>
      <sz val="22"/>
      <color rgb="FFDC2626"/>
      <name val="Segoe UI"/>
    </font>
    <font>
      <b/>
      <sz val="22"/>
      <color rgb="FF2563EB"/>
      <name val="Segoe UI"/>
    </font>
    <font>
      <b/>
      <sz val="14"/>
      <color rgb="FF0F1E2E"/>
      <name val="Segoe UI"/>
    </font>
    <font>
      <u/>
      <sz val="11"/>
      <color theme="10"/>
      <name val="Calibri"/>
      <family val="2"/>
      <scheme val="minor"/>
    </font>
    <font>
      <b/>
      <sz val="20"/>
      <color rgb="FF0F1E2E"/>
      <name val="Segoe UI"/>
    </font>
    <font>
      <b/>
      <sz val="12"/>
      <color rgb="FF2563EB"/>
      <name val="Segoe UI"/>
    </font>
    <font>
      <b/>
      <sz val="13"/>
      <color rgb="FF2563EB"/>
      <name val="Segoe UI"/>
    </font>
    <font>
      <b/>
      <sz val="12"/>
      <color rgb="FF0F1E2E"/>
      <name val="Segoe UI"/>
    </font>
    <font>
      <b/>
      <sz val="8"/>
      <color rgb="FF64748B"/>
      <name val="Segoe UI"/>
      <family val="2"/>
    </font>
    <font>
      <b/>
      <sz val="9"/>
      <color rgb="FF2563EB"/>
      <name val="Segoe UI"/>
      <family val="2"/>
    </font>
    <font>
      <b/>
      <sz val="11"/>
      <color theme="1"/>
      <name val="Segoe UI"/>
      <family val="2"/>
    </font>
    <font>
      <b/>
      <sz val="11"/>
      <color theme="0" tint="-0.499984740745262"/>
      <name val="Segoe UI"/>
      <family val="2"/>
    </font>
    <font>
      <b/>
      <sz val="22"/>
      <color rgb="FF0F1E2E"/>
      <name val="Segoe UI"/>
      <family val="2"/>
    </font>
    <font>
      <b/>
      <sz val="11"/>
      <color rgb="FFCC0000"/>
      <name val="Segoe UI"/>
      <family val="2"/>
    </font>
    <font>
      <b/>
      <sz val="11"/>
      <color rgb="FFCC0000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4F6FB"/>
      </patternFill>
    </fill>
    <fill>
      <patternFill patternType="solid">
        <fgColor rgb="FFFFFFFF"/>
      </patternFill>
    </fill>
    <fill>
      <patternFill patternType="solid">
        <fgColor rgb="FF0F1E2E"/>
      </patternFill>
    </fill>
    <fill>
      <patternFill patternType="solid">
        <fgColor rgb="FFEFF6FF"/>
      </patternFill>
    </fill>
    <fill>
      <patternFill patternType="solid">
        <fgColor rgb="FFFFFFFF"/>
        <bgColor indexed="64"/>
      </patternFill>
    </fill>
    <fill>
      <patternFill patternType="solid">
        <fgColor rgb="FFFBFCFE"/>
        <bgColor indexed="64"/>
      </patternFill>
    </fill>
  </fills>
  <borders count="22">
    <border>
      <left/>
      <right/>
      <top/>
      <bottom/>
      <diagonal/>
    </border>
    <border>
      <left style="thin">
        <color rgb="FF0F1E2E"/>
      </left>
      <right style="thin">
        <color rgb="FF0F1E2E"/>
      </right>
      <top style="thin">
        <color rgb="FF0F1E2E"/>
      </top>
      <bottom style="thin">
        <color rgb="FF0F1E2E"/>
      </bottom>
      <diagonal/>
    </border>
    <border>
      <left style="thin">
        <color rgb="FFE2E8F0"/>
      </left>
      <right/>
      <top/>
      <bottom style="thin">
        <color rgb="FFE2E8F0"/>
      </bottom>
      <diagonal/>
    </border>
    <border>
      <left/>
      <right/>
      <top/>
      <bottom style="thin">
        <color rgb="FFE2E8F0"/>
      </bottom>
      <diagonal/>
    </border>
    <border>
      <left/>
      <right style="thin">
        <color rgb="FFE2E8F0"/>
      </right>
      <top/>
      <bottom style="thin">
        <color rgb="FFE2E8F0"/>
      </bottom>
      <diagonal/>
    </border>
    <border>
      <left/>
      <right style="thin">
        <color rgb="FFE2E8F0"/>
      </right>
      <top style="thin">
        <color rgb="FFE2E8F0"/>
      </top>
      <bottom/>
      <diagonal/>
    </border>
    <border>
      <left style="thin">
        <color rgb="FFE2E8F0"/>
      </left>
      <right/>
      <top/>
      <bottom/>
      <diagonal/>
    </border>
    <border>
      <left/>
      <right style="thin">
        <color rgb="FFE2E8F0"/>
      </right>
      <top/>
      <bottom/>
      <diagonal/>
    </border>
    <border>
      <left style="thin">
        <color rgb="FFE2E8F0"/>
      </left>
      <right/>
      <top/>
      <bottom style="thin">
        <color rgb="FFE2E8F0"/>
      </bottom>
      <diagonal/>
    </border>
    <border>
      <left/>
      <right style="thin">
        <color rgb="FFE2E8F0"/>
      </right>
      <top/>
      <bottom style="thin">
        <color rgb="FFE2E8F0"/>
      </bottom>
      <diagonal/>
    </border>
    <border>
      <left style="thin">
        <color rgb="FFE2E8F0"/>
      </left>
      <right/>
      <top style="medium">
        <color rgb="FF2563EB"/>
      </top>
      <bottom/>
      <diagonal/>
    </border>
    <border>
      <left style="thin">
        <color rgb="FFE2E8F0"/>
      </left>
      <right/>
      <top style="medium">
        <color rgb="FF059669"/>
      </top>
      <bottom/>
      <diagonal/>
    </border>
    <border>
      <left style="thin">
        <color rgb="FFE2E8F0"/>
      </left>
      <right/>
      <top style="medium">
        <color rgb="FFDC2626"/>
      </top>
      <bottom/>
      <diagonal/>
    </border>
    <border>
      <left/>
      <right style="thin">
        <color rgb="FF0F1E2E"/>
      </right>
      <top style="thin">
        <color rgb="FF0F1E2E"/>
      </top>
      <bottom style="thin">
        <color rgb="FF0F1E2E"/>
      </bottom>
      <diagonal/>
    </border>
    <border>
      <left style="thin">
        <color rgb="FFE2E8F0"/>
      </left>
      <right/>
      <top style="thin">
        <color rgb="FFE2E8F0"/>
      </top>
      <bottom style="thin">
        <color rgb="FFE2E8F0"/>
      </bottom>
      <diagonal/>
    </border>
    <border>
      <left/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0F1E2E"/>
      </left>
      <right style="thin">
        <color rgb="FF0F1E2E"/>
      </right>
      <top style="thin">
        <color rgb="FF0F1E2E"/>
      </top>
      <bottom/>
      <diagonal/>
    </border>
    <border>
      <left/>
      <right style="thin">
        <color rgb="FFEFF2F7"/>
      </right>
      <top style="thin">
        <color rgb="FFEFF2F7"/>
      </top>
      <bottom style="thin">
        <color rgb="FFEFF2F7"/>
      </bottom>
      <diagonal/>
    </border>
    <border>
      <left/>
      <right style="thin">
        <color rgb="FFEFF2F7"/>
      </right>
      <top style="thin">
        <color rgb="FF0F1E2E"/>
      </top>
      <bottom style="thin">
        <color rgb="FFEFF2F7"/>
      </bottom>
      <diagonal/>
    </border>
    <border>
      <left style="thin">
        <color rgb="FFEFF2F7"/>
      </left>
      <right style="thin">
        <color rgb="FFEFF2F7"/>
      </right>
      <top style="thin">
        <color rgb="FF0F1E2E"/>
      </top>
      <bottom style="thin">
        <color rgb="FFEFF2F7"/>
      </bottom>
      <diagonal/>
    </border>
    <border>
      <left style="thin">
        <color rgb="FFEFF2F7"/>
      </left>
      <right style="thin">
        <color rgb="FFEFF2F7"/>
      </right>
      <top style="thin">
        <color rgb="FFEFF2F7"/>
      </top>
      <bottom style="thin">
        <color rgb="FFEFF2F7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75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horizontal="left" vertical="center" wrapText="1"/>
    </xf>
    <xf numFmtId="0" fontId="5" fillId="4" borderId="1" xfId="0" applyFont="1" applyFill="1" applyBorder="1" applyAlignment="1">
      <alignment horizontal="left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left" vertical="center" wrapText="1"/>
    </xf>
    <xf numFmtId="0" fontId="8" fillId="5" borderId="3" xfId="0" applyFont="1" applyFill="1" applyBorder="1" applyAlignment="1">
      <alignment horizontal="center" vertical="center" wrapText="1"/>
    </xf>
    <xf numFmtId="9" fontId="7" fillId="5" borderId="3" xfId="0" applyNumberFormat="1" applyFont="1" applyFill="1" applyBorder="1" applyAlignment="1">
      <alignment horizontal="center" vertical="center" wrapText="1"/>
    </xf>
    <xf numFmtId="164" fontId="8" fillId="5" borderId="3" xfId="0" applyNumberFormat="1" applyFont="1" applyFill="1" applyBorder="1" applyAlignment="1">
      <alignment horizontal="center" vertical="center" wrapText="1"/>
    </xf>
    <xf numFmtId="1" fontId="8" fillId="5" borderId="3" xfId="0" applyNumberFormat="1" applyFont="1" applyFill="1" applyBorder="1" applyAlignment="1">
      <alignment horizontal="center" vertical="center" wrapText="1"/>
    </xf>
    <xf numFmtId="0" fontId="9" fillId="5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9" fontId="7" fillId="3" borderId="3" xfId="0" applyNumberFormat="1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167" fontId="3" fillId="3" borderId="16" xfId="0" applyNumberFormat="1" applyFont="1" applyFill="1" applyBorder="1" applyAlignment="1">
      <alignment horizontal="center" vertical="center" wrapText="1"/>
    </xf>
    <xf numFmtId="0" fontId="4" fillId="3" borderId="16" xfId="0" applyFont="1" applyFill="1" applyBorder="1" applyAlignment="1">
      <alignment horizontal="center" vertical="center" wrapText="1"/>
    </xf>
    <xf numFmtId="0" fontId="21" fillId="3" borderId="16" xfId="0" applyFont="1" applyFill="1" applyBorder="1" applyAlignment="1">
      <alignment horizontal="center" vertical="center" wrapText="1"/>
    </xf>
    <xf numFmtId="169" fontId="1" fillId="5" borderId="3" xfId="0" applyNumberFormat="1" applyFont="1" applyFill="1" applyBorder="1" applyAlignment="1">
      <alignment horizontal="center" vertical="center" wrapText="1"/>
    </xf>
    <xf numFmtId="169" fontId="1" fillId="3" borderId="3" xfId="0" applyNumberFormat="1" applyFont="1" applyFill="1" applyBorder="1" applyAlignment="1">
      <alignment horizontal="center" vertical="center" wrapText="1"/>
    </xf>
    <xf numFmtId="169" fontId="0" fillId="0" borderId="0" xfId="0" applyNumberFormat="1"/>
    <xf numFmtId="9" fontId="0" fillId="0" borderId="0" xfId="0" applyNumberFormat="1" applyAlignment="1">
      <alignment horizontal="center" vertical="center"/>
    </xf>
    <xf numFmtId="165" fontId="5" fillId="4" borderId="17" xfId="0" applyNumberFormat="1" applyFont="1" applyFill="1" applyBorder="1" applyAlignment="1">
      <alignment horizontal="center" vertical="center" wrapText="1"/>
    </xf>
    <xf numFmtId="0" fontId="0" fillId="6" borderId="18" xfId="0" applyFill="1" applyBorder="1"/>
    <xf numFmtId="0" fontId="11" fillId="3" borderId="6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10" fillId="3" borderId="8" xfId="0" applyFont="1" applyFill="1" applyBorder="1" applyAlignment="1">
      <alignment horizontal="left" vertical="top"/>
    </xf>
    <xf numFmtId="0" fontId="2" fillId="3" borderId="14" xfId="0" applyFont="1" applyFill="1" applyBorder="1" applyAlignment="1">
      <alignment horizontal="center" vertical="center" wrapText="1"/>
    </xf>
    <xf numFmtId="9" fontId="19" fillId="3" borderId="14" xfId="0" applyNumberFormat="1" applyFont="1" applyFill="1" applyBorder="1" applyAlignment="1">
      <alignment horizontal="center" vertical="center" wrapText="1"/>
    </xf>
    <xf numFmtId="0" fontId="1" fillId="6" borderId="19" xfId="0" applyFont="1" applyFill="1" applyBorder="1" applyAlignment="1">
      <alignment horizontal="center" vertical="center" wrapText="1"/>
    </xf>
    <xf numFmtId="0" fontId="1" fillId="7" borderId="18" xfId="0" applyFont="1" applyFill="1" applyBorder="1" applyAlignment="1">
      <alignment horizontal="center" vertical="center" wrapText="1"/>
    </xf>
    <xf numFmtId="0" fontId="0" fillId="7" borderId="18" xfId="0" applyFill="1" applyBorder="1"/>
    <xf numFmtId="0" fontId="1" fillId="5" borderId="20" xfId="0" applyFont="1" applyFill="1" applyBorder="1" applyAlignment="1">
      <alignment horizontal="center" vertical="center" wrapText="1"/>
    </xf>
    <xf numFmtId="0" fontId="1" fillId="3" borderId="21" xfId="0" applyFont="1" applyFill="1" applyBorder="1" applyAlignment="1">
      <alignment horizontal="center" vertical="center" wrapText="1"/>
    </xf>
    <xf numFmtId="0" fontId="1" fillId="5" borderId="21" xfId="0" applyFont="1" applyFill="1" applyBorder="1" applyAlignment="1">
      <alignment horizontal="center" vertical="center" wrapText="1"/>
    </xf>
    <xf numFmtId="0" fontId="0" fillId="0" borderId="21" xfId="0" applyBorder="1"/>
    <xf numFmtId="0" fontId="1" fillId="5" borderId="0" xfId="0" applyFont="1" applyFill="1" applyAlignment="1">
      <alignment horizontal="center" vertical="center" wrapText="1"/>
    </xf>
    <xf numFmtId="0" fontId="22" fillId="5" borderId="3" xfId="0" applyFont="1" applyFill="1" applyBorder="1" applyAlignment="1">
      <alignment horizontal="center" vertical="center" wrapText="1"/>
    </xf>
    <xf numFmtId="0" fontId="22" fillId="3" borderId="3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9" fontId="19" fillId="3" borderId="15" xfId="0" applyNumberFormat="1" applyFont="1" applyFill="1" applyBorder="1" applyAlignment="1">
      <alignment horizontal="center" vertical="center" wrapText="1"/>
    </xf>
    <xf numFmtId="0" fontId="5" fillId="4" borderId="17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3" fillId="0" borderId="0" xfId="0" applyFont="1"/>
    <xf numFmtId="0" fontId="24" fillId="0" borderId="0" xfId="0" applyFont="1"/>
    <xf numFmtId="14" fontId="0" fillId="0" borderId="0" xfId="0" applyNumberFormat="1"/>
    <xf numFmtId="0" fontId="22" fillId="2" borderId="0" xfId="1" applyFont="1" applyFill="1" applyAlignment="1">
      <alignment horizontal="left" vertical="center" wrapText="1"/>
    </xf>
    <xf numFmtId="0" fontId="0" fillId="0" borderId="0" xfId="0"/>
    <xf numFmtId="0" fontId="17" fillId="2" borderId="0" xfId="0" applyFont="1" applyFill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0" fillId="0" borderId="15" xfId="0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164" fontId="18" fillId="3" borderId="14" xfId="0" applyNumberFormat="1" applyFont="1" applyFill="1" applyBorder="1" applyAlignment="1">
      <alignment horizontal="center" vertical="center" wrapText="1"/>
    </xf>
    <xf numFmtId="168" fontId="20" fillId="3" borderId="6" xfId="0" applyNumberFormat="1" applyFont="1" applyFill="1" applyBorder="1" applyAlignment="1">
      <alignment horizontal="center" vertical="center" wrapText="1"/>
    </xf>
    <xf numFmtId="168" fontId="20" fillId="3" borderId="0" xfId="0" applyNumberFormat="1" applyFont="1" applyFill="1" applyAlignment="1">
      <alignment horizontal="center" vertical="center" wrapText="1"/>
    </xf>
    <xf numFmtId="0" fontId="16" fillId="5" borderId="3" xfId="1" applyFill="1" applyBorder="1" applyAlignment="1">
      <alignment horizontal="center" vertical="center" wrapText="1"/>
    </xf>
    <xf numFmtId="0" fontId="0" fillId="5" borderId="4" xfId="0" applyFill="1" applyBorder="1"/>
    <xf numFmtId="0" fontId="10" fillId="3" borderId="8" xfId="0" applyFont="1" applyFill="1" applyBorder="1" applyAlignment="1">
      <alignment horizontal="left" vertical="top"/>
    </xf>
    <xf numFmtId="0" fontId="0" fillId="3" borderId="9" xfId="0" applyFill="1" applyBorder="1"/>
    <xf numFmtId="0" fontId="5" fillId="4" borderId="1" xfId="0" applyFont="1" applyFill="1" applyBorder="1" applyAlignment="1">
      <alignment horizontal="center" vertical="center" wrapText="1"/>
    </xf>
    <xf numFmtId="0" fontId="0" fillId="0" borderId="13" xfId="0" applyBorder="1"/>
    <xf numFmtId="0" fontId="25" fillId="2" borderId="0" xfId="0" applyFont="1" applyFill="1" applyAlignment="1">
      <alignment horizontal="left" vertical="center" wrapText="1"/>
    </xf>
    <xf numFmtId="0" fontId="2" fillId="3" borderId="11" xfId="0" applyFont="1" applyFill="1" applyBorder="1" applyAlignment="1">
      <alignment horizontal="left" vertical="center"/>
    </xf>
    <xf numFmtId="0" fontId="0" fillId="3" borderId="5" xfId="0" applyFill="1" applyBorder="1"/>
    <xf numFmtId="0" fontId="2" fillId="3" borderId="10" xfId="0" applyFont="1" applyFill="1" applyBorder="1" applyAlignment="1">
      <alignment horizontal="left" vertical="center"/>
    </xf>
    <xf numFmtId="166" fontId="6" fillId="2" borderId="0" xfId="0" applyNumberFormat="1" applyFont="1" applyFill="1" applyAlignment="1">
      <alignment horizontal="right" vertical="center"/>
    </xf>
    <xf numFmtId="0" fontId="12" fillId="3" borderId="6" xfId="0" applyFont="1" applyFill="1" applyBorder="1" applyAlignment="1">
      <alignment horizontal="left" vertical="center"/>
    </xf>
    <xf numFmtId="0" fontId="0" fillId="3" borderId="7" xfId="0" applyFill="1" applyBorder="1"/>
    <xf numFmtId="9" fontId="14" fillId="3" borderId="6" xfId="0" applyNumberFormat="1" applyFont="1" applyFill="1" applyBorder="1" applyAlignment="1">
      <alignment horizontal="left" vertical="center"/>
    </xf>
    <xf numFmtId="164" fontId="15" fillId="3" borderId="6" xfId="0" applyNumberFormat="1" applyFont="1" applyFill="1" applyBorder="1" applyAlignment="1">
      <alignment horizontal="left" vertical="center"/>
    </xf>
    <xf numFmtId="0" fontId="2" fillId="3" borderId="12" xfId="0" applyFont="1" applyFill="1" applyBorder="1" applyAlignment="1">
      <alignment horizontal="left" vertical="center"/>
    </xf>
    <xf numFmtId="0" fontId="26" fillId="2" borderId="0" xfId="0" applyFont="1" applyFill="1" applyAlignment="1">
      <alignment horizontal="left" vertical="center" wrapText="1"/>
    </xf>
    <xf numFmtId="0" fontId="27" fillId="0" borderId="0" xfId="0" applyFont="1"/>
    <xf numFmtId="0" fontId="13" fillId="3" borderId="6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40">
    <dxf>
      <fill>
        <patternFill>
          <bgColor rgb="FF2563EB"/>
        </patternFill>
      </fill>
    </dxf>
    <dxf>
      <fill>
        <patternFill>
          <bgColor rgb="FFF97316"/>
        </patternFill>
      </fill>
    </dxf>
    <dxf>
      <font>
        <b/>
        <i val="0"/>
        <color rgb="FFFFFFFF"/>
      </font>
      <fill>
        <patternFill>
          <bgColor rgb="FFD97706"/>
        </patternFill>
      </fill>
    </dxf>
    <dxf>
      <font>
        <b/>
        <i val="0"/>
        <color rgb="FF64748B"/>
      </font>
      <fill>
        <patternFill>
          <bgColor rgb="FFEEF1F6"/>
        </patternFill>
      </fill>
    </dxf>
    <dxf>
      <font>
        <b/>
        <i val="0"/>
        <color rgb="FF059669"/>
      </font>
      <fill>
        <patternFill>
          <bgColor rgb="FFD1FAE5"/>
        </patternFill>
      </fill>
    </dxf>
    <dxf>
      <font>
        <b/>
        <i val="0"/>
        <color rgb="FFDC2626"/>
      </font>
      <fill>
        <patternFill>
          <bgColor rgb="FFFEE2E2"/>
        </patternFill>
      </fill>
    </dxf>
    <dxf>
      <font>
        <b/>
        <i val="0"/>
        <color rgb="FF2563EB"/>
      </font>
      <fill>
        <patternFill>
          <bgColor rgb="FFDBEAFE"/>
        </patternFill>
      </fill>
    </dxf>
    <dxf>
      <fill>
        <patternFill>
          <bgColor rgb="FF2563EB"/>
        </patternFill>
      </fill>
    </dxf>
    <dxf>
      <fill>
        <patternFill>
          <bgColor rgb="FFF97316"/>
        </patternFill>
      </fill>
    </dxf>
    <dxf>
      <font>
        <b/>
        <i val="0"/>
        <color rgb="FFFFFFFF"/>
      </font>
      <fill>
        <patternFill>
          <bgColor rgb="FFD97706"/>
        </patternFill>
      </fill>
    </dxf>
    <dxf>
      <font>
        <b/>
        <i val="0"/>
        <color rgb="FF64748B"/>
      </font>
      <fill>
        <patternFill>
          <bgColor rgb="FFEEF1F6"/>
        </patternFill>
      </fill>
    </dxf>
    <dxf>
      <font>
        <b/>
        <i val="0"/>
        <color rgb="FF059669"/>
      </font>
      <fill>
        <patternFill>
          <bgColor rgb="FFD1FAE5"/>
        </patternFill>
      </fill>
    </dxf>
    <dxf>
      <font>
        <b/>
        <i val="0"/>
        <color rgb="FFDC2626"/>
      </font>
      <fill>
        <patternFill>
          <bgColor rgb="FFFEE2E2"/>
        </patternFill>
      </fill>
    </dxf>
    <dxf>
      <font>
        <b/>
        <i val="0"/>
        <color rgb="FF2563EB"/>
      </font>
      <fill>
        <patternFill>
          <bgColor rgb="FFDBEAFE"/>
        </patternFill>
      </fill>
    </dxf>
    <dxf>
      <fill>
        <patternFill>
          <bgColor rgb="FF2563EB"/>
        </patternFill>
      </fill>
    </dxf>
    <dxf>
      <fill>
        <patternFill>
          <bgColor rgb="FFF97316"/>
        </patternFill>
      </fill>
    </dxf>
    <dxf>
      <font>
        <b/>
        <i val="0"/>
        <color rgb="FFFFFFFF"/>
      </font>
      <fill>
        <patternFill>
          <bgColor rgb="FFD97706"/>
        </patternFill>
      </fill>
    </dxf>
    <dxf>
      <font>
        <b/>
        <i val="0"/>
        <color rgb="FF64748B"/>
      </font>
      <fill>
        <patternFill>
          <bgColor rgb="FFEEF1F6"/>
        </patternFill>
      </fill>
    </dxf>
    <dxf>
      <font>
        <b/>
        <i val="0"/>
        <color rgb="FF059669"/>
      </font>
      <fill>
        <patternFill>
          <bgColor rgb="FFD1FAE5"/>
        </patternFill>
      </fill>
    </dxf>
    <dxf>
      <font>
        <b/>
        <i val="0"/>
        <color rgb="FFDC2626"/>
      </font>
      <fill>
        <patternFill>
          <bgColor rgb="FFFEE2E2"/>
        </patternFill>
      </fill>
    </dxf>
    <dxf>
      <font>
        <b/>
        <i val="0"/>
        <color rgb="FF2563EB"/>
      </font>
      <fill>
        <patternFill>
          <bgColor rgb="FFDBEAFE"/>
        </patternFill>
      </fill>
    </dxf>
    <dxf>
      <fill>
        <patternFill>
          <bgColor rgb="FF2563EB"/>
        </patternFill>
      </fill>
    </dxf>
    <dxf>
      <fill>
        <patternFill>
          <bgColor rgb="FFF97316"/>
        </patternFill>
      </fill>
    </dxf>
    <dxf>
      <font>
        <b/>
        <i val="0"/>
        <color rgb="FFFFFFFF"/>
      </font>
      <fill>
        <patternFill>
          <bgColor rgb="FFD97706"/>
        </patternFill>
      </fill>
    </dxf>
    <dxf>
      <font>
        <b/>
        <i val="0"/>
        <color rgb="FF64748B"/>
      </font>
      <fill>
        <patternFill>
          <bgColor rgb="FFEEF1F6"/>
        </patternFill>
      </fill>
    </dxf>
    <dxf>
      <font>
        <b/>
        <i val="0"/>
        <color rgb="FF059669"/>
      </font>
      <fill>
        <patternFill>
          <bgColor rgb="FFD1FAE5"/>
        </patternFill>
      </fill>
    </dxf>
    <dxf>
      <font>
        <b/>
        <i val="0"/>
        <color rgb="FFDC2626"/>
      </font>
      <fill>
        <patternFill>
          <bgColor rgb="FFFEE2E2"/>
        </patternFill>
      </fill>
    </dxf>
    <dxf>
      <font>
        <b/>
        <i val="0"/>
        <color rgb="FF2563EB"/>
      </font>
      <fill>
        <patternFill>
          <bgColor rgb="FFDBEAFE"/>
        </patternFill>
      </fill>
    </dxf>
    <dxf>
      <font>
        <b/>
        <sz val="9"/>
        <color rgb="FF64748B"/>
        <name val="Segoe UI"/>
      </font>
      <fill>
        <patternFill patternType="solid">
          <fgColor rgb="FFEEF1F6"/>
          <bgColor rgb="FFEEF1F6"/>
        </patternFill>
      </fill>
    </dxf>
    <dxf>
      <font>
        <b/>
        <sz val="9"/>
        <color rgb="FF059669"/>
        <name val="Segoe UI"/>
      </font>
      <fill>
        <patternFill patternType="solid">
          <fgColor rgb="FFD1FAE5"/>
          <bgColor rgb="FFD1FAE5"/>
        </patternFill>
      </fill>
    </dxf>
    <dxf>
      <font>
        <b/>
        <sz val="9"/>
        <color rgb="FFDC2626"/>
        <name val="Segoe UI"/>
      </font>
      <fill>
        <patternFill patternType="solid">
          <fgColor rgb="FFFEE2E2"/>
          <bgColor rgb="FFFEE2E2"/>
        </patternFill>
      </fill>
    </dxf>
    <dxf>
      <font>
        <b/>
        <sz val="9"/>
        <color rgb="FF2563EB"/>
        <name val="Segoe UI"/>
      </font>
      <fill>
        <patternFill patternType="solid">
          <fgColor rgb="FFDBEAFE"/>
          <bgColor rgb="FFDBEAFE"/>
        </patternFill>
      </fill>
    </dxf>
    <dxf>
      <font>
        <b/>
        <sz val="9"/>
        <color rgb="FFDC2626"/>
        <name val="Segoe UI"/>
      </font>
    </dxf>
    <dxf>
      <fill>
        <patternFill>
          <bgColor rgb="FF2563EB"/>
        </patternFill>
      </fill>
    </dxf>
    <dxf>
      <fill>
        <patternFill>
          <bgColor rgb="FFF97316"/>
        </patternFill>
      </fill>
    </dxf>
    <dxf>
      <font>
        <b/>
        <i val="0"/>
        <color rgb="FFFFFFFF"/>
      </font>
      <fill>
        <patternFill>
          <bgColor rgb="FFD97706"/>
        </patternFill>
      </fill>
    </dxf>
    <dxf>
      <font>
        <b/>
        <i val="0"/>
        <color rgb="FF64748B"/>
      </font>
      <fill>
        <patternFill>
          <bgColor rgb="FFEEF1F6"/>
        </patternFill>
      </fill>
    </dxf>
    <dxf>
      <font>
        <b/>
        <i val="0"/>
        <color rgb="FF059669"/>
      </font>
      <fill>
        <patternFill>
          <bgColor rgb="FFD1FAE5"/>
        </patternFill>
      </fill>
    </dxf>
    <dxf>
      <font>
        <b/>
        <i val="0"/>
        <color rgb="FFDC2626"/>
      </font>
      <fill>
        <patternFill>
          <bgColor rgb="FFFEE2E2"/>
        </patternFill>
      </fill>
    </dxf>
    <dxf>
      <font>
        <b/>
        <i val="0"/>
        <color rgb="FF2563EB"/>
      </font>
      <fill>
        <patternFill>
          <bgColor rgb="FFDBEAFE"/>
        </patternFill>
      </fill>
    </dxf>
  </dxfs>
  <tableStyles count="0" defaultTableStyle="TableStyleMedium9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504825</xdr:colOff>
      <xdr:row>1</xdr:row>
      <xdr:rowOff>34925</xdr:rowOff>
    </xdr:from>
    <xdr:to>
      <xdr:col>12</xdr:col>
      <xdr:colOff>263525</xdr:colOff>
      <xdr:row>2</xdr:row>
      <xdr:rowOff>9525</xdr:rowOff>
    </xdr:to>
    <xdr:sp macro="AddProcessStep" textlink="">
      <xdr:nvSpPr>
        <xdr:cNvPr id="2" name="AddProcessStepButton">
          <a:extLst>
            <a:ext uri="{FF2B5EF4-FFF2-40B4-BE49-F238E27FC236}">
              <a16:creationId xmlns:a16="http://schemas.microsoft.com/office/drawing/2014/main" id="{E3EACA91-A0D9-45D9-9F2B-C440CDE86F56}"/>
            </a:ext>
          </a:extLst>
        </xdr:cNvPr>
        <xdr:cNvSpPr/>
      </xdr:nvSpPr>
      <xdr:spPr>
        <a:xfrm>
          <a:off x="7496175" y="225425"/>
          <a:ext cx="1625600" cy="3556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Add Step Above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25400</xdr:rowOff>
    </xdr:from>
    <xdr:to>
      <xdr:col>11</xdr:col>
      <xdr:colOff>825500</xdr:colOff>
      <xdr:row>2</xdr:row>
      <xdr:rowOff>0</xdr:rowOff>
    </xdr:to>
    <xdr:sp macro="AddProcessStep" textlink="">
      <xdr:nvSpPr>
        <xdr:cNvPr id="2" name="AddProcessStepButton">
          <a:extLst>
            <a:ext uri="{FF2B5EF4-FFF2-40B4-BE49-F238E27FC236}">
              <a16:creationId xmlns:a16="http://schemas.microsoft.com/office/drawing/2014/main" id="{2B8E059F-B4C7-B2B7-30E6-7256FD5BD7BE}"/>
            </a:ext>
          </a:extLst>
        </xdr:cNvPr>
        <xdr:cNvSpPr/>
      </xdr:nvSpPr>
      <xdr:spPr>
        <a:xfrm>
          <a:off x="6276975" y="215900"/>
          <a:ext cx="1625600" cy="406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Add Step Above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504825</xdr:colOff>
      <xdr:row>1</xdr:row>
      <xdr:rowOff>34925</xdr:rowOff>
    </xdr:from>
    <xdr:to>
      <xdr:col>12</xdr:col>
      <xdr:colOff>263525</xdr:colOff>
      <xdr:row>2</xdr:row>
      <xdr:rowOff>9525</xdr:rowOff>
    </xdr:to>
    <xdr:sp macro="AddProcessStep" textlink="">
      <xdr:nvSpPr>
        <xdr:cNvPr id="2" name="AddProcessStepButton">
          <a:extLst>
            <a:ext uri="{FF2B5EF4-FFF2-40B4-BE49-F238E27FC236}">
              <a16:creationId xmlns:a16="http://schemas.microsoft.com/office/drawing/2014/main" id="{5A2C662C-2873-455E-B9FF-DEC48F7E47CB}"/>
            </a:ext>
          </a:extLst>
        </xdr:cNvPr>
        <xdr:cNvSpPr/>
      </xdr:nvSpPr>
      <xdr:spPr>
        <a:xfrm>
          <a:off x="7496175" y="225425"/>
          <a:ext cx="1625600" cy="3556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Add Step Above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504825</xdr:colOff>
      <xdr:row>1</xdr:row>
      <xdr:rowOff>34925</xdr:rowOff>
    </xdr:from>
    <xdr:to>
      <xdr:col>12</xdr:col>
      <xdr:colOff>263525</xdr:colOff>
      <xdr:row>2</xdr:row>
      <xdr:rowOff>9525</xdr:rowOff>
    </xdr:to>
    <xdr:sp macro="AddProcessStep" textlink="">
      <xdr:nvSpPr>
        <xdr:cNvPr id="2" name="AddProcessStepButton">
          <a:extLst>
            <a:ext uri="{FF2B5EF4-FFF2-40B4-BE49-F238E27FC236}">
              <a16:creationId xmlns:a16="http://schemas.microsoft.com/office/drawing/2014/main" id="{561190E5-F78E-4926-BDC8-5478487D8C7E}"/>
            </a:ext>
          </a:extLst>
        </xdr:cNvPr>
        <xdr:cNvSpPr/>
      </xdr:nvSpPr>
      <xdr:spPr>
        <a:xfrm>
          <a:off x="10620375" y="225425"/>
          <a:ext cx="1625600" cy="3556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Add Step Above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504825</xdr:colOff>
      <xdr:row>1</xdr:row>
      <xdr:rowOff>34925</xdr:rowOff>
    </xdr:from>
    <xdr:to>
      <xdr:col>12</xdr:col>
      <xdr:colOff>263525</xdr:colOff>
      <xdr:row>2</xdr:row>
      <xdr:rowOff>9525</xdr:rowOff>
    </xdr:to>
    <xdr:sp macro="AddProcessStep" textlink="">
      <xdr:nvSpPr>
        <xdr:cNvPr id="2" name="AddProcessStepButton">
          <a:extLst>
            <a:ext uri="{FF2B5EF4-FFF2-40B4-BE49-F238E27FC236}">
              <a16:creationId xmlns:a16="http://schemas.microsoft.com/office/drawing/2014/main" id="{19C4BEC5-9BB0-496C-9160-6BC3780936AB}"/>
            </a:ext>
          </a:extLst>
        </xdr:cNvPr>
        <xdr:cNvSpPr/>
      </xdr:nvSpPr>
      <xdr:spPr>
        <a:xfrm>
          <a:off x="10620375" y="225425"/>
          <a:ext cx="1625600" cy="3556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Add Step Above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2563EB"/>
  </sheetPr>
  <dimension ref="A1:J14"/>
  <sheetViews>
    <sheetView showGridLines="0" workbookViewId="0">
      <pane xSplit="1" ySplit="10" topLeftCell="B11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2.140625" customWidth="1"/>
    <col min="2" max="2" width="26" customWidth="1"/>
    <col min="3" max="3" width="17.28515625" customWidth="1"/>
    <col min="4" max="4" width="15" customWidth="1"/>
    <col min="5" max="6" width="16" customWidth="1"/>
    <col min="7" max="7" width="11" customWidth="1"/>
    <col min="8" max="9" width="13" customWidth="1"/>
    <col min="10" max="10" width="6" customWidth="1"/>
  </cols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  <row r="2" spans="1:10" ht="33.950000000000003" customHeight="1" x14ac:dyDescent="0.25">
      <c r="A2" s="1"/>
      <c r="B2" s="62" t="s">
        <v>60</v>
      </c>
      <c r="C2" s="47"/>
      <c r="D2" s="47"/>
      <c r="E2" s="47"/>
      <c r="F2" s="47"/>
      <c r="G2" s="47"/>
      <c r="H2" s="47"/>
      <c r="I2" s="47"/>
      <c r="J2" s="47"/>
    </row>
    <row r="3" spans="1:10" ht="18" customHeight="1" x14ac:dyDescent="0.25">
      <c r="A3" s="1"/>
      <c r="B3" s="72" t="s">
        <v>61</v>
      </c>
      <c r="C3" s="73"/>
      <c r="D3" s="73"/>
      <c r="E3" s="73"/>
      <c r="F3" s="73"/>
      <c r="G3" s="73"/>
      <c r="H3" s="66">
        <f ca="1">TODAY()</f>
        <v>46189</v>
      </c>
      <c r="I3" s="47"/>
      <c r="J3" s="47"/>
    </row>
    <row r="4" spans="1:10" x14ac:dyDescent="0.25">
      <c r="A4" s="1"/>
      <c r="B4" s="1"/>
      <c r="C4" s="1"/>
      <c r="D4" s="1"/>
      <c r="E4" s="1"/>
      <c r="F4" s="1"/>
      <c r="G4" s="1"/>
      <c r="H4" s="1"/>
      <c r="I4" s="1"/>
      <c r="J4" s="1"/>
    </row>
    <row r="5" spans="1:10" ht="15.95" customHeight="1" x14ac:dyDescent="0.25">
      <c r="A5" s="1"/>
      <c r="B5" s="25" t="s">
        <v>0</v>
      </c>
      <c r="C5" s="63" t="s">
        <v>1</v>
      </c>
      <c r="D5" s="64"/>
      <c r="E5" s="71" t="s">
        <v>2</v>
      </c>
      <c r="F5" s="64"/>
      <c r="G5" s="65" t="s">
        <v>3</v>
      </c>
      <c r="H5" s="64"/>
      <c r="I5" s="65" t="s">
        <v>4</v>
      </c>
      <c r="J5" s="64"/>
    </row>
    <row r="6" spans="1:10" ht="27.95" customHeight="1" x14ac:dyDescent="0.25">
      <c r="A6" s="1"/>
      <c r="B6" s="24">
        <f>COUNTA(B11:B14)</f>
      </c>
      <c r="C6" s="67">
        <f>COUNTIF(H11:H14,"On Track")+COUNTIF(H11:H14,"Complete")</f>
      </c>
      <c r="D6" s="68"/>
      <c r="E6" s="74">
        <f>COUNTIF(H11:H14,"Behind")</f>
      </c>
      <c r="F6" s="68"/>
      <c r="G6" s="69">
        <f>AVERAGE(E11:E14)</f>
      </c>
      <c r="H6" s="68"/>
      <c r="I6" s="70">
        <f>MIN(F11:F14)</f>
      </c>
      <c r="J6" s="68"/>
    </row>
    <row r="7" spans="1:10" ht="15.95" customHeight="1" x14ac:dyDescent="0.25">
      <c r="A7" s="1"/>
      <c r="B7" s="26" t="s">
        <v>5</v>
      </c>
      <c r="C7" s="58" t="s">
        <v>6</v>
      </c>
      <c r="D7" s="59"/>
      <c r="E7" s="58" t="s">
        <v>7</v>
      </c>
      <c r="F7" s="59"/>
      <c r="G7" s="58" t="s">
        <v>8</v>
      </c>
      <c r="H7" s="59"/>
      <c r="I7" s="58" t="s">
        <v>9</v>
      </c>
      <c r="J7" s="59"/>
    </row>
    <row r="8" spans="1:10" x14ac:dyDescent="0.25">
      <c r="A8" s="1"/>
      <c r="B8" s="1"/>
      <c r="C8" s="1"/>
      <c r="D8" s="1"/>
      <c r="E8" s="1"/>
      <c r="F8" s="1"/>
      <c r="G8" s="1"/>
      <c r="H8" s="1"/>
      <c r="I8" s="1"/>
      <c r="J8" s="1"/>
    </row>
    <row r="9" spans="1:10" ht="20.100000000000001" customHeight="1" x14ac:dyDescent="0.25">
      <c r="A9" s="1"/>
      <c r="B9" s="2" t="s">
        <v>10</v>
      </c>
      <c r="C9" s="1"/>
      <c r="D9" s="1"/>
      <c r="E9" s="1"/>
      <c r="F9" s="1"/>
      <c r="G9" s="1"/>
      <c r="H9" s="1"/>
      <c r="I9" s="1"/>
      <c r="J9" s="1"/>
    </row>
    <row r="10" spans="1:10" ht="24" customHeight="1" x14ac:dyDescent="0.25">
      <c r="A10" s="1"/>
      <c r="B10" s="3" t="s">
        <v>11</v>
      </c>
      <c r="C10" s="4" t="s">
        <v>12</v>
      </c>
      <c r="D10" s="4" t="s">
        <v>13</v>
      </c>
      <c r="E10" s="4" t="s">
        <v>14</v>
      </c>
      <c r="F10" s="4" t="s">
        <v>15</v>
      </c>
      <c r="G10" s="4" t="s">
        <v>16</v>
      </c>
      <c r="H10" s="4" t="s">
        <v>17</v>
      </c>
      <c r="I10" s="60"/>
      <c r="J10" s="61"/>
    </row>
    <row r="11" spans="1:10" ht="26.1" customHeight="1" x14ac:dyDescent="0.25">
      <c r="A11" s="1"/>
      <c r="B11" s="5" t="str">
        <f>'184K334H01'!B2</f>
      </c>
      <c r="C11" s="6" t="str">
        <f ca="1">'184K334H01'!C6</f>
      </c>
      <c r="D11" s="6" t="s">
        <v>62</v>
      </c>
      <c r="E11" s="7">
        <f>'184K334H01'!E5</f>
      </c>
      <c r="F11" s="8">
        <f>'184K334H01'!D5</f>
      </c>
      <c r="G11" s="9">
        <f ca="1">F11-TODAY()</f>
      </c>
      <c r="H11" s="10" t="str">
        <f ca="1">'184K334H01'!G5</f>
      </c>
      <c r="I11" s="56" t="str">
        <f>HYPERLINK("#'184K334H01'!A1","Open ?")</f>
      </c>
      <c r="J11" s="57"/>
    </row>
    <row r="12" spans="1:10" ht="24" x14ac:dyDescent="0.25">
      <c r="A12" s="1"/>
      <c r="B12" s="5" t="str">
        <f>'1TD1351A10015-1010'!B2</f>
      </c>
      <c r="C12" s="6" t="str">
        <f ca="1">'1TD1351A10015-1010'!C6</f>
      </c>
      <c r="D12" s="6" t="s">
        <v>62</v>
      </c>
      <c r="E12" s="7">
        <f>'1TD1351A10015-1010'!E5</f>
      </c>
      <c r="F12" s="8">
        <f>'1TD1351A10015-1010'!D5</f>
      </c>
      <c r="G12" s="9">
        <f ca="1">F12-TODAY()</f>
      </c>
      <c r="H12" s="10" t="str">
        <f ca="1">'1TD1351A10015-1010'!G5</f>
      </c>
      <c r="I12" s="56" t="str">
        <f>HYPERLINK("#'1TD1351A10015-1010'!A1","Open ?")</f>
      </c>
      <c r="J12" s="57"/>
    </row>
    <row r="13" spans="1:10" ht="24" x14ac:dyDescent="0.25">
      <c r="A13" s="1"/>
      <c r="B13" s="5" t="str">
        <f>'280-331-310'!B2</f>
      </c>
      <c r="C13" s="6" t="str">
        <f ca="1">'280-331-310'!C6</f>
      </c>
      <c r="D13" s="6" t="s">
        <v>62</v>
      </c>
      <c r="E13" s="7">
        <f>'280-331-310'!E5</f>
      </c>
      <c r="F13" s="8">
        <f>'280-331-310'!D5</f>
      </c>
      <c r="G13" s="9">
        <f ca="1">F13-TODAY()</f>
      </c>
      <c r="H13" s="10" t="str">
        <f ca="1">'280-331-310'!G5</f>
      </c>
      <c r="I13" s="56" t="str">
        <f>HYPERLINK("#'280-331-310'!A1","Open ?")</f>
      </c>
      <c r="J13" s="57"/>
    </row>
    <row r="14" spans="1:10" ht="24" x14ac:dyDescent="0.25">
      <c r="A14" s="1"/>
      <c r="B14" s="5" t="str">
        <f>'1TD1351A10015-1009'!B2</f>
      </c>
      <c r="C14" s="6" t="str">
        <f ca="1">'1TD1351A10015-1009'!C6</f>
      </c>
      <c r="D14" s="6" t="s">
        <v>62</v>
      </c>
      <c r="E14" s="7">
        <f>'1TD1351A10015-1009'!E5</f>
      </c>
      <c r="F14" s="8">
        <f>'1TD1351A10015-1009'!D5</f>
      </c>
      <c r="G14" s="9">
        <f ca="1">F14-TODAY()</f>
      </c>
      <c r="H14" s="10" t="str">
        <f ca="1">'1TD1351A10015-1009'!G5</f>
      </c>
      <c r="I14" s="56" t="str">
        <f>HYPERLINK("#'1TD1351A10015-1009'!A1","Open ?")</f>
      </c>
      <c r="J14" s="57"/>
    </row>
  </sheetData>
  <mergeCells count="16">
    <mergeCell ref="C7:D7"/>
    <mergeCell ref="B2:J2"/>
    <mergeCell ref="C5:D5"/>
    <mergeCell ref="G5:H5"/>
    <mergeCell ref="H3:J3"/>
    <mergeCell ref="C6:D6"/>
    <mergeCell ref="G6:H6"/>
    <mergeCell ref="E5:F5"/>
    <mergeCell ref="B3:G3"/>
    <mergeCell ref="E6:F6"/>
    <mergeCell ref="G7:H7"/>
    <mergeCell ref="E7:F7"/>
    <mergeCell ref="I11:J11"/>
    <mergeCell ref="I12:J12"/>
    <mergeCell ref="I13:J13"/>
    <mergeCell ref="I14:J14"/>
  </mergeCells>
  <conditionalFormatting sqref="E11:E12">
    <cfRule type="dataBar" priority="5">
      <dataBar>
        <cfvo type="num" val="0"/>
        <cfvo type="num" val="1"/>
        <color rgb="FF2563EB"/>
      </dataBar>
    </cfRule>
  </conditionalFormatting>
  <conditionalFormatting sqref="G11:G12">
    <cfRule type="cellIs" dxfId="32" priority="6" operator="lessThan">
      <formula>0</formula>
    </cfRule>
  </conditionalFormatting>
  <conditionalFormatting sqref="H11:H12">
    <cfRule type="cellIs" dxfId="31" priority="1" operator="equal">
      <formula>"On Track"</formula>
    </cfRule>
    <cfRule type="cellIs" dxfId="30" priority="2" operator="equal">
      <formula>"Behind"</formula>
    </cfRule>
    <cfRule type="cellIs" dxfId="29" priority="3" operator="equal">
      <formula>"Complete"</formula>
    </cfRule>
    <cfRule type="cellIs" dxfId="28" priority="4" operator="equal">
      <formula>"Not Started"</formula>
    </cfRule>
  </conditionalFormatting>
  <pageMargins left="0.75" right="0.75" top="1" bottom="1" header="0.5" footer="0.5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BD7BF-0BB3-4D0C-8A59-F8499BDAF410}">
  <sheetPr codeName="Sheet4">
    <tabColor rgb="FF0F1E2E"/>
  </sheetPr>
  <dimension ref="A1:DO96"/>
  <sheetViews>
    <sheetView showGridLines="0" workbookViewId="0">
      <pane xSplit="1" ySplit="8" topLeftCell="B9" activePane="bottomRight" state="frozen"/>
      <selection pane="topRight"/>
      <selection pane="bottomLeft"/>
      <selection pane="bottomRight" activeCell="G16" sqref="G16"/>
    </sheetView>
  </sheetViews>
  <sheetFormatPr defaultRowHeight="15" x14ac:dyDescent="0.25"/>
  <cols>
    <col min="1" max="1" width="2.140625" hidden="1" customWidth="1"/>
    <col min="2" max="2" width="13.42578125" customWidth="1"/>
    <col min="3" max="3" width="29" customWidth="1"/>
    <col min="4" max="4" width="13" customWidth="1"/>
    <col min="5" max="5" width="13.42578125" customWidth="1"/>
    <col min="6" max="6" width="19.28515625" customWidth="1"/>
    <col min="7" max="7" width="13" customWidth="1"/>
    <col min="8" max="8" width="13.85546875" customWidth="1"/>
    <col min="9" max="9" width="13.7109375" customWidth="1"/>
    <col min="10" max="10" width="11" customWidth="1"/>
    <col min="11" max="11" width="12" customWidth="1"/>
    <col min="12" max="12" width="28" customWidth="1"/>
    <col min="13" max="13" width="30.5703125" customWidth="1"/>
    <col min="14" max="14" width="13.85546875" customWidth="1"/>
    <col min="15" max="31" width="5.7109375" bestFit="1" customWidth="1"/>
    <col min="32" max="32" width="8.28515625" customWidth="1"/>
    <col min="33" max="41" width="5.7109375" bestFit="1" customWidth="1"/>
    <col min="42" max="118" width="5.140625" customWidth="1"/>
    <col min="119" max="119" width="0" hidden="1" customWidth="1"/>
  </cols>
  <sheetData>
    <row r="1" spans="1:119" ht="15" customHeight="1" x14ac:dyDescent="0.25">
      <c r="A1" s="1"/>
      <c r="B1" s="46" t="s">
        <v>38</v>
      </c>
      <c r="C1" s="47"/>
      <c r="D1" s="47"/>
      <c r="E1" s="47"/>
      <c r="F1" s="47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</row>
    <row r="2" spans="1:119" ht="30" customHeight="1" x14ac:dyDescent="0.25">
      <c r="A2" s="1"/>
      <c r="B2" s="48" t="s">
        <v>81</v>
      </c>
      <c r="C2" s="47"/>
      <c r="D2" s="47"/>
      <c r="E2" s="47"/>
      <c r="F2" s="47"/>
      <c r="G2" s="47"/>
      <c r="H2" s="47"/>
      <c r="I2" s="47"/>
      <c r="J2" s="47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</row>
    <row r="3" spans="1:119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</row>
    <row r="4" spans="1:119" ht="21.95" customHeight="1" x14ac:dyDescent="0.25">
      <c r="A4" s="1"/>
      <c r="B4" s="49" t="s">
        <v>18</v>
      </c>
      <c r="C4" s="50"/>
      <c r="D4" s="14" t="s">
        <v>19</v>
      </c>
      <c r="E4" s="27" t="s">
        <v>20</v>
      </c>
      <c r="F4" s="39"/>
      <c r="G4" s="17" t="s">
        <v>21</v>
      </c>
      <c r="H4" s="51" t="s">
        <v>22</v>
      </c>
      <c r="I4" s="52"/>
      <c r="J4" s="52"/>
      <c r="K4" s="52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</row>
    <row r="5" spans="1:119" ht="26.1" customHeight="1" x14ac:dyDescent="0.25">
      <c r="A5" s="1"/>
      <c r="B5" s="53">
        <f>F9</f>
        <v>0</v>
      </c>
      <c r="C5" s="50"/>
      <c r="D5" s="15" t="str">
        <f>IF(COUNT(G9:G96)=0,"",MAX(G9:G96))</f>
        <v/>
      </c>
      <c r="E5" s="28">
        <f>IFERROR(SUMPRODUCT(I9:I96,K9:K96)/SUM(I9:I96),0)</f>
        <v>0</v>
      </c>
      <c r="F5" s="40"/>
      <c r="G5" s="16" t="str">
        <f ca="1">IF(E5&gt;=1,"Complete",IF(COUNTIF(L9:L96,"Behind")&gt;0,"Behind",IF(AND(COUNTIF(C9:C96,"&lt;&gt;")&gt;0,COUNTIF(L9:L96,"Not Started")=COUNTIF(C9:C96,"&lt;&gt;")),"Not Started","On Track")))</f>
        <v>On Track</v>
      </c>
      <c r="H5" s="54" t="e">
        <f ca="1">D5-TODAY()</f>
        <v>#VALUE!</v>
      </c>
      <c r="I5" s="55"/>
      <c r="J5" s="55"/>
      <c r="K5" s="55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</row>
    <row r="6" spans="1:119" ht="18" customHeight="1" x14ac:dyDescent="0.3">
      <c r="A6" s="1"/>
      <c r="B6" s="44" t="s">
        <v>23</v>
      </c>
      <c r="C6" s="43" t="str">
        <f>IFERROR(INDEX(C9:C96,MATCH(0,DO9:DO96,0)),"Program Complete")</f>
        <v>Program Complete</v>
      </c>
      <c r="D6" s="1"/>
      <c r="E6" s="1"/>
      <c r="F6" s="1"/>
      <c r="G6" s="1"/>
      <c r="H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</row>
    <row r="7" spans="1:119" ht="1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</row>
    <row r="8" spans="1:119" ht="30" customHeight="1" x14ac:dyDescent="0.25">
      <c r="A8" s="1"/>
      <c r="B8" s="4" t="s">
        <v>24</v>
      </c>
      <c r="C8" s="4" t="s">
        <v>25</v>
      </c>
      <c r="D8" s="4" t="s">
        <v>26</v>
      </c>
      <c r="E8" s="4" t="s">
        <v>27</v>
      </c>
      <c r="F8" s="4" t="s">
        <v>28</v>
      </c>
      <c r="G8" s="4" t="s">
        <v>29</v>
      </c>
      <c r="H8" s="4" t="s">
        <v>30</v>
      </c>
      <c r="I8" s="4" t="s">
        <v>35</v>
      </c>
      <c r="J8" s="4" t="s">
        <v>36</v>
      </c>
      <c r="K8" s="4" t="s">
        <v>31</v>
      </c>
      <c r="L8" s="4" t="s">
        <v>17</v>
      </c>
      <c r="M8" s="4" t="s">
        <v>32</v>
      </c>
      <c r="N8" s="41"/>
      <c r="O8" s="22">
        <f>$B$5</f>
        <v>0</v>
      </c>
      <c r="P8" s="22">
        <f t="shared" ref="P8:CA8" si="0">IF(O8="","",IF(O8+7&gt;$D$5,"",O8+7))</f>
        <v>7</v>
      </c>
      <c r="Q8" s="22">
        <f t="shared" si="0"/>
        <v>14</v>
      </c>
      <c r="R8" s="22">
        <f t="shared" si="0"/>
        <v>21</v>
      </c>
      <c r="S8" s="22">
        <f t="shared" si="0"/>
        <v>28</v>
      </c>
      <c r="T8" s="22">
        <f t="shared" si="0"/>
        <v>35</v>
      </c>
      <c r="U8" s="22">
        <f t="shared" si="0"/>
        <v>42</v>
      </c>
      <c r="V8" s="22">
        <f t="shared" si="0"/>
        <v>49</v>
      </c>
      <c r="W8" s="22">
        <f t="shared" si="0"/>
        <v>56</v>
      </c>
      <c r="X8" s="22">
        <f t="shared" si="0"/>
        <v>63</v>
      </c>
      <c r="Y8" s="22">
        <f t="shared" si="0"/>
        <v>70</v>
      </c>
      <c r="Z8" s="22">
        <f t="shared" si="0"/>
        <v>77</v>
      </c>
      <c r="AA8" s="22">
        <f t="shared" si="0"/>
        <v>84</v>
      </c>
      <c r="AB8" s="22">
        <f t="shared" si="0"/>
        <v>91</v>
      </c>
      <c r="AC8" s="22">
        <f t="shared" si="0"/>
        <v>98</v>
      </c>
      <c r="AD8" s="22">
        <f t="shared" si="0"/>
        <v>105</v>
      </c>
      <c r="AE8" s="22">
        <f t="shared" si="0"/>
        <v>112</v>
      </c>
      <c r="AF8" s="22">
        <f t="shared" si="0"/>
        <v>119</v>
      </c>
      <c r="AG8" s="22">
        <f t="shared" si="0"/>
        <v>126</v>
      </c>
      <c r="AH8" s="22">
        <f t="shared" si="0"/>
        <v>133</v>
      </c>
      <c r="AI8" s="22">
        <f t="shared" si="0"/>
        <v>140</v>
      </c>
      <c r="AJ8" s="22">
        <f t="shared" si="0"/>
        <v>147</v>
      </c>
      <c r="AK8" s="22">
        <f t="shared" si="0"/>
        <v>154</v>
      </c>
      <c r="AL8" s="22">
        <f t="shared" si="0"/>
        <v>161</v>
      </c>
      <c r="AM8" s="22">
        <f t="shared" si="0"/>
        <v>168</v>
      </c>
      <c r="AN8" s="22">
        <f t="shared" si="0"/>
        <v>175</v>
      </c>
      <c r="AO8" s="22">
        <f t="shared" si="0"/>
        <v>182</v>
      </c>
      <c r="AP8" s="22">
        <f t="shared" si="0"/>
        <v>189</v>
      </c>
      <c r="AQ8" s="22">
        <f t="shared" si="0"/>
        <v>196</v>
      </c>
      <c r="AR8" s="22">
        <f t="shared" si="0"/>
        <v>203</v>
      </c>
      <c r="AS8" s="22">
        <f t="shared" si="0"/>
        <v>210</v>
      </c>
      <c r="AT8" s="22">
        <f t="shared" si="0"/>
        <v>217</v>
      </c>
      <c r="AU8" s="22">
        <f t="shared" si="0"/>
        <v>224</v>
      </c>
      <c r="AV8" s="22">
        <f t="shared" si="0"/>
        <v>231</v>
      </c>
      <c r="AW8" s="22">
        <f t="shared" si="0"/>
        <v>238</v>
      </c>
      <c r="AX8" s="22">
        <f t="shared" si="0"/>
        <v>245</v>
      </c>
      <c r="AY8" s="22">
        <f t="shared" si="0"/>
        <v>252</v>
      </c>
      <c r="AZ8" s="22">
        <f t="shared" si="0"/>
        <v>259</v>
      </c>
      <c r="BA8" s="22">
        <f t="shared" si="0"/>
        <v>266</v>
      </c>
      <c r="BB8" s="22">
        <f t="shared" si="0"/>
        <v>273</v>
      </c>
      <c r="BC8" s="22">
        <f t="shared" si="0"/>
        <v>280</v>
      </c>
      <c r="BD8" s="22">
        <f t="shared" si="0"/>
        <v>287</v>
      </c>
      <c r="BE8" s="22">
        <f t="shared" si="0"/>
        <v>294</v>
      </c>
      <c r="BF8" s="22">
        <f t="shared" si="0"/>
        <v>301</v>
      </c>
      <c r="BG8" s="22">
        <f t="shared" si="0"/>
        <v>308</v>
      </c>
      <c r="BH8" s="22">
        <f t="shared" si="0"/>
        <v>315</v>
      </c>
      <c r="BI8" s="22">
        <f t="shared" si="0"/>
        <v>322</v>
      </c>
      <c r="BJ8" s="22">
        <f t="shared" si="0"/>
        <v>329</v>
      </c>
      <c r="BK8" s="22">
        <f t="shared" si="0"/>
        <v>336</v>
      </c>
      <c r="BL8" s="22">
        <f t="shared" si="0"/>
        <v>343</v>
      </c>
      <c r="BM8" s="22">
        <f t="shared" si="0"/>
        <v>350</v>
      </c>
      <c r="BN8" s="22">
        <f t="shared" si="0"/>
        <v>357</v>
      </c>
      <c r="BO8" s="22">
        <f t="shared" si="0"/>
        <v>364</v>
      </c>
      <c r="BP8" s="22">
        <f t="shared" si="0"/>
        <v>371</v>
      </c>
      <c r="BQ8" s="22">
        <f t="shared" si="0"/>
        <v>378</v>
      </c>
      <c r="BR8" s="22">
        <f t="shared" si="0"/>
        <v>385</v>
      </c>
      <c r="BS8" s="22">
        <f t="shared" si="0"/>
        <v>392</v>
      </c>
      <c r="BT8" s="22">
        <f t="shared" si="0"/>
        <v>399</v>
      </c>
      <c r="BU8" s="22">
        <f t="shared" si="0"/>
        <v>406</v>
      </c>
      <c r="BV8" s="22">
        <f t="shared" si="0"/>
        <v>413</v>
      </c>
      <c r="BW8" s="22">
        <f t="shared" si="0"/>
        <v>420</v>
      </c>
      <c r="BX8" s="22">
        <f t="shared" si="0"/>
        <v>427</v>
      </c>
      <c r="BY8" s="22">
        <f t="shared" si="0"/>
        <v>434</v>
      </c>
      <c r="BZ8" s="22">
        <f t="shared" si="0"/>
        <v>441</v>
      </c>
      <c r="CA8" s="22">
        <f t="shared" si="0"/>
        <v>448</v>
      </c>
      <c r="CB8" s="22">
        <f t="shared" ref="CB8:DN8" si="1">IF(CA8="","",IF(CA8+7&gt;$D$5,"",CA8+7))</f>
        <v>455</v>
      </c>
      <c r="CC8" s="22">
        <f t="shared" si="1"/>
        <v>462</v>
      </c>
      <c r="CD8" s="22">
        <f t="shared" si="1"/>
        <v>469</v>
      </c>
      <c r="CE8" s="22">
        <f t="shared" si="1"/>
        <v>476</v>
      </c>
      <c r="CF8" s="22">
        <f t="shared" si="1"/>
        <v>483</v>
      </c>
      <c r="CG8" s="22">
        <f t="shared" si="1"/>
        <v>490</v>
      </c>
      <c r="CH8" s="22">
        <f t="shared" si="1"/>
        <v>497</v>
      </c>
      <c r="CI8" s="22">
        <f t="shared" si="1"/>
        <v>504</v>
      </c>
      <c r="CJ8" s="22">
        <f t="shared" si="1"/>
        <v>511</v>
      </c>
      <c r="CK8" s="22">
        <f t="shared" si="1"/>
        <v>518</v>
      </c>
      <c r="CL8" s="22">
        <f t="shared" si="1"/>
        <v>525</v>
      </c>
      <c r="CM8" s="22">
        <f t="shared" si="1"/>
        <v>532</v>
      </c>
      <c r="CN8" s="22">
        <f t="shared" si="1"/>
        <v>539</v>
      </c>
      <c r="CO8" s="22">
        <f t="shared" si="1"/>
        <v>546</v>
      </c>
      <c r="CP8" s="22">
        <f t="shared" si="1"/>
        <v>553</v>
      </c>
      <c r="CQ8" s="22">
        <f t="shared" si="1"/>
        <v>560</v>
      </c>
      <c r="CR8" s="22">
        <f t="shared" si="1"/>
        <v>567</v>
      </c>
      <c r="CS8" s="22">
        <f t="shared" si="1"/>
        <v>574</v>
      </c>
      <c r="CT8" s="22">
        <f t="shared" si="1"/>
        <v>581</v>
      </c>
      <c r="CU8" s="22">
        <f t="shared" si="1"/>
        <v>588</v>
      </c>
      <c r="CV8" s="22">
        <f t="shared" si="1"/>
        <v>595</v>
      </c>
      <c r="CW8" s="22">
        <f t="shared" si="1"/>
        <v>602</v>
      </c>
      <c r="CX8" s="22">
        <f t="shared" si="1"/>
        <v>609</v>
      </c>
      <c r="CY8" s="22">
        <f t="shared" si="1"/>
        <v>616</v>
      </c>
      <c r="CZ8" s="22">
        <f t="shared" si="1"/>
        <v>623</v>
      </c>
      <c r="DA8" s="22">
        <f t="shared" si="1"/>
        <v>630</v>
      </c>
      <c r="DB8" s="22">
        <f t="shared" si="1"/>
        <v>637</v>
      </c>
      <c r="DC8" s="22">
        <f t="shared" si="1"/>
        <v>644</v>
      </c>
      <c r="DD8" s="22">
        <f t="shared" si="1"/>
        <v>651</v>
      </c>
      <c r="DE8" s="22">
        <f t="shared" si="1"/>
        <v>658</v>
      </c>
      <c r="DF8" s="22">
        <f t="shared" si="1"/>
        <v>665</v>
      </c>
      <c r="DG8" s="22">
        <f t="shared" si="1"/>
        <v>672</v>
      </c>
      <c r="DH8" s="22">
        <f t="shared" si="1"/>
        <v>679</v>
      </c>
      <c r="DI8" s="22">
        <f t="shared" si="1"/>
        <v>686</v>
      </c>
      <c r="DJ8" s="22">
        <f t="shared" si="1"/>
        <v>693</v>
      </c>
      <c r="DK8" s="22">
        <f t="shared" si="1"/>
        <v>700</v>
      </c>
      <c r="DL8" s="22">
        <f t="shared" si="1"/>
        <v>707</v>
      </c>
      <c r="DM8" s="22">
        <f t="shared" si="1"/>
        <v>714</v>
      </c>
      <c r="DN8" s="22">
        <f t="shared" si="1"/>
        <v>721</v>
      </c>
    </row>
    <row r="9" spans="1:119" ht="19.149999999999999" customHeight="1" x14ac:dyDescent="0.25">
      <c r="A9" s="1"/>
      <c r="B9" s="11" t="str">
        <f>IF(C9="","",COUNTIF($C$9:C9,"&lt;&gt;"))</f>
        <v/>
      </c>
      <c r="C9" s="11"/>
      <c r="D9" s="37"/>
      <c r="E9" s="18"/>
      <c r="F9" s="18"/>
      <c r="G9" s="18" t="str">
        <f>IF(OR(C9="",I9=""),"",WORKDAY.INTL(E9,IF(J9="",I9,J9)-1,"0000111",'Holiday Schedule'!$C$9:$C$18))</f>
        <v/>
      </c>
      <c r="H9" s="18"/>
      <c r="I9" s="11">
        <f>H9-F9</f>
        <v>0</v>
      </c>
      <c r="J9" s="11"/>
      <c r="K9" s="7"/>
      <c r="L9" s="11" t="str">
        <f t="shared" ref="L9:L25" ca="1" si="3">IF(C9="","",IF(K9&gt;=1,"Complete",IF(TODAY()&lt;E9,"Not Started",IF(K9&gt;=NETWORKDAYS.INTL(E9,MIN(TODAY(),G9),"0001111")/NETWORKDAYS.INTL(E9,G9,"0001111"),"On Track","Behind"))))</f>
        <v/>
      </c>
      <c r="M9" s="11"/>
      <c r="N9" s="36"/>
      <c r="O9" s="29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  <c r="BG9" s="32"/>
      <c r="BH9" s="32"/>
      <c r="BI9" s="32"/>
      <c r="BJ9" s="32"/>
      <c r="BK9" s="32"/>
      <c r="BL9" s="32"/>
      <c r="BM9" s="32"/>
      <c r="BN9" s="32"/>
      <c r="BO9" s="32"/>
      <c r="BP9" s="32"/>
      <c r="BQ9" s="32"/>
      <c r="BR9" s="32"/>
      <c r="BS9" s="32"/>
      <c r="BT9" s="32"/>
      <c r="BU9" s="32"/>
      <c r="BV9" s="32"/>
      <c r="BW9" s="32"/>
      <c r="BX9" s="32"/>
      <c r="BY9" s="32"/>
      <c r="BZ9" s="32"/>
      <c r="CA9" s="32"/>
      <c r="CB9" s="32"/>
      <c r="CC9" s="32"/>
      <c r="CD9" s="32"/>
      <c r="CE9" s="32"/>
      <c r="CF9" s="32"/>
      <c r="CG9" s="32"/>
      <c r="CH9" s="32"/>
      <c r="CI9" s="32"/>
      <c r="CJ9" s="32"/>
      <c r="CK9" s="32"/>
      <c r="CL9" s="32"/>
      <c r="CM9" s="32"/>
      <c r="CN9" s="32"/>
      <c r="CO9" s="32"/>
      <c r="CP9" s="32"/>
      <c r="CQ9" s="32"/>
      <c r="CR9" s="32"/>
      <c r="CS9" s="32"/>
      <c r="CT9" s="32"/>
      <c r="CU9" s="32"/>
      <c r="CV9" s="32"/>
      <c r="CW9" s="32"/>
      <c r="CX9" s="32"/>
      <c r="CY9" s="32"/>
      <c r="CZ9" s="32"/>
      <c r="DA9" s="32"/>
      <c r="DB9" s="32"/>
      <c r="DC9" s="32"/>
      <c r="DD9" s="32"/>
      <c r="DE9" s="32"/>
      <c r="DF9" s="32"/>
      <c r="DG9" s="32"/>
      <c r="DH9" s="32"/>
      <c r="DI9" s="32"/>
      <c r="DJ9" s="32"/>
      <c r="DK9" s="32"/>
      <c r="DL9" s="32"/>
      <c r="DM9" s="32"/>
      <c r="DN9" s="32"/>
      <c r="DO9" t="str">
        <f t="shared" ref="DO9:DO78" si="4">IF(C9="","",IF(L9="Complete",1,0))</f>
        <v/>
      </c>
    </row>
    <row r="10" spans="1:119" ht="18.95" customHeight="1" x14ac:dyDescent="0.25">
      <c r="A10" s="1"/>
      <c r="B10" s="13" t="str">
        <f>IF(C10="","",COUNTIF($C$9:C10,"&lt;&gt;"))</f>
        <v/>
      </c>
      <c r="C10" s="13"/>
      <c r="D10" s="38"/>
      <c r="E10" s="19" t="str">
        <f>IF(C10="","",WORKDAY.INTL(G9,1,"0000111",'Holiday Schedule'!$C$9:$C$18))</f>
        <v/>
      </c>
      <c r="F10" s="19"/>
      <c r="G10" s="19" t="str">
        <f>IF(OR(C10="",I10=""),"",WORKDAY.INTL(E10,IF(J10="",I10,J10)-1,"0000111",'Holiday Schedule'!$C$9:$C$18))</f>
        <v/>
      </c>
      <c r="H10" s="19"/>
      <c r="I10" s="11">
        <f t="shared" ref="I10:I24" si="6">H10-F10</f>
        <v>0</v>
      </c>
      <c r="J10" s="13"/>
      <c r="K10" s="12"/>
      <c r="L10" s="13" t="str">
        <f t="shared" ca="1" si="3"/>
        <v/>
      </c>
      <c r="M10" s="13"/>
      <c r="N10" s="42"/>
      <c r="O10" s="42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  <c r="DL10" s="33"/>
      <c r="DM10" s="33"/>
      <c r="DN10" s="33"/>
      <c r="DO10" t="str">
        <f t="shared" si="4"/>
        <v/>
      </c>
    </row>
    <row r="11" spans="1:119" ht="18.95" customHeight="1" x14ac:dyDescent="0.25">
      <c r="A11" s="1"/>
      <c r="B11" s="11" t="str">
        <f>IF(C11="","",COUNTIF($C$9:C11,"&lt;&gt;"))</f>
        <v/>
      </c>
      <c r="C11" s="11"/>
      <c r="D11" s="37"/>
      <c r="E11" s="19" t="str">
        <f>IF(C11="","",WORKDAY.INTL(G10,1,"0000111",'Holiday Schedule'!$C$9:$C$18))</f>
        <v/>
      </c>
      <c r="F11" s="18"/>
      <c r="G11" s="18" t="str">
        <f>IF(OR(C11="",I11=""),"",WORKDAY.INTL(E11,IF(J11="",I11,J11)-1,"0000111",'Holiday Schedule'!$C$9:$C$18))</f>
        <v/>
      </c>
      <c r="H11" s="18"/>
      <c r="I11" s="11">
        <f t="shared" si="6"/>
        <v>0</v>
      </c>
      <c r="J11" s="11"/>
      <c r="K11" s="7"/>
      <c r="L11" s="11" t="str">
        <f t="shared" ca="1" si="3"/>
        <v/>
      </c>
      <c r="M11" s="11"/>
      <c r="N11" s="36"/>
      <c r="O11" s="36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t="str">
        <f t="shared" si="4"/>
        <v/>
      </c>
    </row>
    <row r="12" spans="1:119" ht="18.95" customHeight="1" x14ac:dyDescent="0.25">
      <c r="A12" s="1"/>
      <c r="B12" s="13" t="str">
        <f>IF(C12="","",COUNTIF($C$9:C12,"&lt;&gt;"))</f>
        <v/>
      </c>
      <c r="C12" s="13"/>
      <c r="D12" s="38"/>
      <c r="E12" s="19" t="str">
        <f>IF(C12="","",WORKDAY.INTL(G11,1,"0000111",'Holiday Schedule'!$C$9:$C$18))</f>
        <v/>
      </c>
      <c r="F12" s="19"/>
      <c r="G12" s="19" t="str">
        <f>IF(OR(C12="",I12=""),"",WORKDAY.INTL(E12,IF(J12="",I12,J12)-1,"0000111",'Holiday Schedule'!$C$9:$C$18))</f>
        <v/>
      </c>
      <c r="H12" s="19"/>
      <c r="I12" s="11">
        <f t="shared" si="6"/>
        <v>0</v>
      </c>
      <c r="J12" s="13"/>
      <c r="K12" s="12"/>
      <c r="L12" s="13" t="str">
        <f t="shared" ca="1" si="3"/>
        <v/>
      </c>
      <c r="M12" s="13"/>
      <c r="N12" s="42"/>
      <c r="O12" s="42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3"/>
      <c r="CE12" s="33"/>
      <c r="CF12" s="33"/>
      <c r="CG12" s="33"/>
      <c r="CH12" s="33"/>
      <c r="CI12" s="33"/>
      <c r="CJ12" s="33"/>
      <c r="CK12" s="33"/>
      <c r="CL12" s="33"/>
      <c r="CM12" s="33"/>
      <c r="CN12" s="33"/>
      <c r="CO12" s="33"/>
      <c r="CP12" s="33"/>
      <c r="CQ12" s="33"/>
      <c r="CR12" s="33"/>
      <c r="CS12" s="33"/>
      <c r="CT12" s="33"/>
      <c r="CU12" s="33"/>
      <c r="CV12" s="33"/>
      <c r="CW12" s="33"/>
      <c r="CX12" s="33"/>
      <c r="CY12" s="33"/>
      <c r="CZ12" s="33"/>
      <c r="DA12" s="33"/>
      <c r="DB12" s="33"/>
      <c r="DC12" s="33"/>
      <c r="DD12" s="33"/>
      <c r="DE12" s="33"/>
      <c r="DF12" s="33"/>
      <c r="DG12" s="33"/>
      <c r="DH12" s="33"/>
      <c r="DI12" s="33"/>
      <c r="DJ12" s="33"/>
      <c r="DK12" s="33"/>
      <c r="DL12" s="33"/>
      <c r="DM12" s="33"/>
      <c r="DN12" s="33"/>
      <c r="DO12" t="str">
        <f t="shared" si="4"/>
        <v/>
      </c>
    </row>
    <row r="13" spans="1:119" ht="18.95" customHeight="1" x14ac:dyDescent="0.25">
      <c r="A13" s="1"/>
      <c r="B13" s="11" t="str">
        <f>IF(C13="","",COUNTIF($C$9:C13,"&lt;&gt;"))</f>
        <v/>
      </c>
      <c r="C13" s="11"/>
      <c r="D13" s="37"/>
      <c r="E13" s="18" t="str">
        <f>IF(C13="","",WORKDAY.INTL(G12,1,"0000111",'Holiday Schedule'!$C$9:$C$18))</f>
        <v/>
      </c>
      <c r="F13" s="18"/>
      <c r="G13" s="18" t="str">
        <f>IF(OR(C13="",I13=""),"",WORKDAY.INTL(E13,IF(J13="",I13,J13)-1,"0000111",'Holiday Schedule'!$C$9:$C$18))</f>
        <v/>
      </c>
      <c r="H13" s="18"/>
      <c r="I13" s="11">
        <f t="shared" si="6"/>
        <v>0</v>
      </c>
      <c r="J13" s="11"/>
      <c r="K13" s="7"/>
      <c r="L13" s="11" t="str">
        <f t="shared" ca="1" si="3"/>
        <v/>
      </c>
      <c r="M13" s="11"/>
      <c r="N13" s="36"/>
      <c r="O13" s="36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/>
      <c r="DK13" s="34"/>
      <c r="DL13" s="34"/>
      <c r="DM13" s="34"/>
      <c r="DN13" s="34"/>
      <c r="DO13" t="str">
        <f t="shared" si="4"/>
        <v/>
      </c>
    </row>
    <row r="14" spans="1:119" ht="18.95" customHeight="1" x14ac:dyDescent="0.25">
      <c r="A14" s="1"/>
      <c r="B14" s="13" t="str">
        <f>IF(C14="","",COUNTIF($C$9:C14,"&lt;&gt;"))</f>
        <v/>
      </c>
      <c r="C14" s="13"/>
      <c r="D14" s="38"/>
      <c r="E14" s="19" t="str">
        <f>IF(C14="","",WORKDAY.INTL(G13,1,"0000111",'Holiday Schedule'!$C$9:$C$18))</f>
        <v/>
      </c>
      <c r="F14" s="19"/>
      <c r="G14" s="19" t="str">
        <f>IF(OR(C14="",I14=""),"",WORKDAY.INTL(E14,IF(J14="",I14,J14)-1,"0000111",'Holiday Schedule'!$C$9:$C$18))</f>
        <v/>
      </c>
      <c r="H14" s="19"/>
      <c r="I14" s="11">
        <f t="shared" si="6"/>
        <v>0</v>
      </c>
      <c r="J14" s="13"/>
      <c r="K14" s="12"/>
      <c r="L14" s="13" t="str">
        <f t="shared" ca="1" si="3"/>
        <v/>
      </c>
      <c r="M14" s="13"/>
      <c r="N14" s="42"/>
      <c r="O14" s="42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s="33"/>
      <c r="CE14" s="33"/>
      <c r="CF14" s="33"/>
      <c r="CG14" s="33"/>
      <c r="CH14" s="33"/>
      <c r="CI14" s="33"/>
      <c r="CJ14" s="33"/>
      <c r="CK14" s="33"/>
      <c r="CL14" s="33"/>
      <c r="CM14" s="33"/>
      <c r="CN14" s="33"/>
      <c r="CO14" s="33"/>
      <c r="CP14" s="33"/>
      <c r="CQ14" s="33"/>
      <c r="CR14" s="33"/>
      <c r="CS14" s="33"/>
      <c r="CT14" s="33"/>
      <c r="CU14" s="33"/>
      <c r="CV14" s="33"/>
      <c r="CW14" s="33"/>
      <c r="CX14" s="33"/>
      <c r="CY14" s="33"/>
      <c r="CZ14" s="33"/>
      <c r="DA14" s="33"/>
      <c r="DB14" s="33"/>
      <c r="DC14" s="33"/>
      <c r="DD14" s="33"/>
      <c r="DE14" s="33"/>
      <c r="DF14" s="33"/>
      <c r="DG14" s="33"/>
      <c r="DH14" s="33"/>
      <c r="DI14" s="33"/>
      <c r="DJ14" s="33"/>
      <c r="DK14" s="33"/>
      <c r="DL14" s="33"/>
      <c r="DM14" s="33"/>
      <c r="DN14" s="33"/>
      <c r="DO14" t="str">
        <f t="shared" si="4"/>
        <v/>
      </c>
    </row>
    <row r="15" spans="1:119" ht="18.95" customHeight="1" x14ac:dyDescent="0.25">
      <c r="A15" s="1"/>
      <c r="B15" s="11" t="str">
        <f>IF(C15="","",COUNTIF($C$9:C15,"&lt;&gt;"))</f>
        <v/>
      </c>
      <c r="C15" s="11"/>
      <c r="D15" s="37"/>
      <c r="E15" s="18" t="str">
        <f>IF(C15="","",WORKDAY.INTL(G14,1,"0000111",'Holiday Schedule'!$C$9:$C$18))</f>
        <v/>
      </c>
      <c r="F15" s="18"/>
      <c r="G15" s="18" t="str">
        <f>IF(OR(C15="",I15=""),"",WORKDAY.INTL(E15,IF(J15="",I15,J15)-1,"0000111",'Holiday Schedule'!$C$9:$C$18))</f>
        <v/>
      </c>
      <c r="H15" s="18"/>
      <c r="I15" s="11">
        <f t="shared" si="6"/>
        <v>0</v>
      </c>
      <c r="J15" s="11"/>
      <c r="K15" s="7"/>
      <c r="L15" s="11" t="str">
        <f t="shared" ca="1" si="3"/>
        <v/>
      </c>
      <c r="M15" s="11"/>
      <c r="N15" s="36"/>
      <c r="O15" s="36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t="str">
        <f t="shared" si="4"/>
        <v/>
      </c>
    </row>
    <row r="16" spans="1:119" ht="27.6" customHeight="1" x14ac:dyDescent="0.25">
      <c r="A16" s="1"/>
      <c r="B16" s="13" t="str">
        <f>IF(C16="","",COUNTIF($C$9:C16,"&lt;&gt;"))</f>
        <v/>
      </c>
      <c r="C16" s="13"/>
      <c r="D16" s="38"/>
      <c r="E16" s="19" t="str">
        <f>IF(C16="","",WORKDAY.INTL(G15,1,"0000111",'Holiday Schedule'!$C$9:$C$18))</f>
        <v/>
      </c>
      <c r="F16" s="19"/>
      <c r="G16" s="19" t="str">
        <f>IF(OR(C16="",I16=""),"",WORKDAY.INTL(E16,IF(J16="",I16,J16)-1,"0000111",'Holiday Schedule'!$C$9:$C$18))</f>
        <v/>
      </c>
      <c r="H16" s="19"/>
      <c r="I16" s="11">
        <f t="shared" si="6"/>
        <v>0</v>
      </c>
      <c r="J16" s="13"/>
      <c r="K16" s="12"/>
      <c r="L16" s="13" t="str">
        <f t="shared" ca="1" si="3"/>
        <v/>
      </c>
      <c r="M16" s="13"/>
      <c r="N16" s="42"/>
      <c r="O16" s="42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t="str">
        <f t="shared" si="4"/>
        <v/>
      </c>
    </row>
    <row r="17" spans="1:119" ht="33.6" customHeight="1" x14ac:dyDescent="0.25">
      <c r="A17" s="1"/>
      <c r="B17" s="11" t="str">
        <f>IF(C17="","",COUNTIF($C$9:C17,"&lt;&gt;"))</f>
        <v/>
      </c>
      <c r="C17" s="11"/>
      <c r="D17" s="37"/>
      <c r="E17" s="18" t="str">
        <f>IF(C17="","",WORKDAY.INTL(G16,1,"0000111",'Holiday Schedule'!$C$9:$C$18))</f>
        <v/>
      </c>
      <c r="F17" s="18"/>
      <c r="G17" s="18" t="str">
        <f>IF(OR(C17="",I17=""),"",WORKDAY.INTL(E17,IF(J17="",I17,J17)-1,"0000111",'Holiday Schedule'!$C$9:$C$18))</f>
        <v/>
      </c>
      <c r="H17" s="18"/>
      <c r="I17" s="11">
        <f t="shared" si="6"/>
        <v>0</v>
      </c>
      <c r="J17" s="11"/>
      <c r="K17" s="7"/>
      <c r="L17" s="11" t="str">
        <f t="shared" ca="1" si="3"/>
        <v/>
      </c>
      <c r="M17" s="11"/>
      <c r="N17" s="36"/>
      <c r="O17" s="36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t="str">
        <f t="shared" si="4"/>
        <v/>
      </c>
    </row>
    <row r="18" spans="1:119" ht="18.95" customHeight="1" x14ac:dyDescent="0.25">
      <c r="A18" s="1"/>
      <c r="B18" s="13" t="str">
        <f>IF(C18="","",COUNTIF($C$9:C18,"&lt;&gt;"))</f>
        <v/>
      </c>
      <c r="C18" s="13"/>
      <c r="D18" s="38"/>
      <c r="E18" s="19" t="str">
        <f>IF(C18="","",WORKDAY.INTL(G17,1,"0000111",'Holiday Schedule'!$C$9:$C$18))</f>
        <v/>
      </c>
      <c r="F18" s="19"/>
      <c r="G18" s="19" t="str">
        <f>IF(OR(C18="",I18=""),"",WORKDAY.INTL(E18,IF(J18="",I18,J18)-1,"0000111",'Holiday Schedule'!$C$9:$C$18))</f>
        <v/>
      </c>
      <c r="H18" s="19"/>
      <c r="I18" s="11">
        <f t="shared" si="6"/>
        <v>0</v>
      </c>
      <c r="J18" s="13"/>
      <c r="K18" s="12"/>
      <c r="L18" s="13" t="str">
        <f t="shared" ca="1" si="3"/>
        <v/>
      </c>
      <c r="M18" s="13"/>
      <c r="N18" s="42"/>
      <c r="O18" s="30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t="str">
        <f t="shared" si="4"/>
        <v/>
      </c>
    </row>
    <row r="19" spans="1:119" s="11" customFormat="1" ht="18.95" customHeight="1" x14ac:dyDescent="0.25">
      <c r="B19" s="11" t="str">
        <f>IF(C19="","ADD",COUNTIF($C$9:C19,"&lt;&gt;"))</f>
        <v>ADD</v>
      </c>
      <c r="E19" s="18" t="str">
        <f>IF(C19="","",WORKDAY.INTL(G18,1,"0000111",'Holiday Schedule'!$C$9:$C$18))</f>
        <v/>
      </c>
      <c r="F19" s="18"/>
      <c r="G19" s="18" t="str">
        <f>IF(OR(C19="",I19=""),"",WORKDAY.INTL(E19,IF(J19="",I19,J19)-1,"0000111",'Holiday Schedule'!$C$9:$C$18))</f>
        <v/>
      </c>
      <c r="H19" s="18"/>
      <c r="I19" s="11">
        <f t="shared" si="6"/>
        <v>0</v>
      </c>
      <c r="L19" s="11" t="str">
        <f t="shared" ca="1" si="3"/>
        <v/>
      </c>
      <c r="DO19" s="11" t="str">
        <f t="shared" si="4"/>
        <v/>
      </c>
    </row>
    <row r="20" spans="1:119" s="13" customFormat="1" ht="18.95" customHeight="1" x14ac:dyDescent="0.25">
      <c r="B20" s="13" t="str">
        <f>IF(C20="","ADD",COUNTIF($C$9:C20,"&lt;&gt;"))</f>
        <v>ADD</v>
      </c>
      <c r="E20" s="19" t="str">
        <f>IF(C20="","",WORKDAY.INTL(G19,1,"0000111",'Holiday Schedule'!$C$9:$C$18))</f>
        <v/>
      </c>
      <c r="F20" s="19"/>
      <c r="G20" s="19" t="str">
        <f>IF(OR(C20="",I20=""),"",WORKDAY.INTL(E20,IF(J20="",I20,J20)-1,"0000111",'Holiday Schedule'!$C$9:$C$18))</f>
        <v/>
      </c>
      <c r="H20" s="19"/>
      <c r="I20" s="11">
        <f t="shared" si="6"/>
        <v>0</v>
      </c>
      <c r="L20" s="13" t="str">
        <f t="shared" ca="1" si="3"/>
        <v/>
      </c>
      <c r="DO20" s="13" t="str">
        <f t="shared" si="4"/>
        <v/>
      </c>
    </row>
    <row r="21" spans="1:119" s="11" customFormat="1" ht="18.95" customHeight="1" x14ac:dyDescent="0.25">
      <c r="B21" s="11" t="str">
        <f>IF(C21="","ADD",COUNTIF($C$9:C21,"&lt;&gt;"))</f>
        <v>ADD</v>
      </c>
      <c r="E21" s="18" t="str">
        <f>IF(C21="","",WORKDAY.INTL(G20,1,"0000111",'Holiday Schedule'!$C$9:$C$18))</f>
        <v/>
      </c>
      <c r="F21" s="18"/>
      <c r="G21" s="18" t="str">
        <f>IF(OR(C21="",I21=""),"",WORKDAY.INTL(E21,IF(J21="",I21,J21)-1,"0000111",'Holiday Schedule'!$C$9:$C$18))</f>
        <v/>
      </c>
      <c r="H21" s="18"/>
      <c r="I21" s="11">
        <f t="shared" si="6"/>
        <v>0</v>
      </c>
      <c r="L21" s="11" t="str">
        <f t="shared" ca="1" si="3"/>
        <v/>
      </c>
      <c r="DO21" s="11" t="str">
        <f t="shared" si="4"/>
        <v/>
      </c>
    </row>
    <row r="22" spans="1:119" s="13" customFormat="1" ht="18.95" customHeight="1" x14ac:dyDescent="0.25">
      <c r="B22" s="13" t="str">
        <f>IF(C22="","ADD",COUNTIF($C$9:C22,"&lt;&gt;"))</f>
        <v>ADD</v>
      </c>
      <c r="E22" s="19" t="str">
        <f>IF(C22="","",WORKDAY.INTL(G21,1,"0000111",'Holiday Schedule'!$C$9:$C$18))</f>
        <v/>
      </c>
      <c r="F22" s="19"/>
      <c r="G22" s="19" t="str">
        <f>IF(OR(C22="",I22=""),"",WORKDAY.INTL(E22,IF(J22="",I22,J22)-1,"0000111",'Holiday Schedule'!$C$9:$C$18))</f>
        <v/>
      </c>
      <c r="H22" s="19"/>
      <c r="I22" s="11">
        <f t="shared" si="6"/>
        <v>0</v>
      </c>
      <c r="L22" s="13" t="str">
        <f t="shared" ca="1" si="3"/>
        <v/>
      </c>
      <c r="DO22" s="13" t="str">
        <f t="shared" si="4"/>
        <v/>
      </c>
    </row>
    <row r="23" spans="1:119" s="11" customFormat="1" ht="18.95" customHeight="1" x14ac:dyDescent="0.25">
      <c r="B23" s="11" t="str">
        <f>IF(C23="","ADD",COUNTIF($C$9:C23,"&lt;&gt;"))</f>
        <v>ADD</v>
      </c>
      <c r="E23" s="18" t="str">
        <f>IF(C23="","",WORKDAY.INTL(G22,1,"0000111",'Holiday Schedule'!$C$9:$C$18))</f>
        <v/>
      </c>
      <c r="F23" s="18"/>
      <c r="G23" s="18" t="str">
        <f>IF(OR(C23="",I23=""),"",WORKDAY.INTL(E23,IF(J23="",I23,J23)-1,"0000111",'Holiday Schedule'!$C$9:$C$18))</f>
        <v/>
      </c>
      <c r="H23" s="18"/>
      <c r="I23" s="11">
        <f t="shared" si="6"/>
        <v>0</v>
      </c>
      <c r="L23" s="11" t="str">
        <f t="shared" ca="1" si="3"/>
        <v/>
      </c>
      <c r="DO23" s="11" t="str">
        <f t="shared" si="4"/>
        <v/>
      </c>
    </row>
    <row r="24" spans="1:119" s="13" customFormat="1" ht="18.95" customHeight="1" x14ac:dyDescent="0.25">
      <c r="B24" s="13" t="str">
        <f>IF(C24="","ADD",COUNTIF($C$9:C24,"&lt;&gt;"))</f>
        <v>ADD</v>
      </c>
      <c r="E24" s="19" t="str">
        <f>IF(C24="","",WORKDAY.INTL(G23,1,"0000111",'Holiday Schedule'!$C$9:$C$18))</f>
        <v/>
      </c>
      <c r="F24" s="19"/>
      <c r="G24" s="19" t="str">
        <f>IF(OR(C24="",I24=""),"",WORKDAY.INTL(E24,IF(J24="",I24,J24)-1,"0000111",'Holiday Schedule'!$C$9:$C$18))</f>
        <v/>
      </c>
      <c r="H24" s="19"/>
      <c r="I24" s="11">
        <f t="shared" si="6"/>
        <v>0</v>
      </c>
      <c r="L24" s="13" t="str">
        <f t="shared" ca="1" si="3"/>
        <v/>
      </c>
      <c r="DO24" s="13" t="str">
        <f t="shared" si="4"/>
        <v/>
      </c>
    </row>
    <row r="25" spans="1:119" ht="33.6" customHeight="1" x14ac:dyDescent="0.25">
      <c r="A25" s="1"/>
      <c r="B25" s="11" t="str">
        <f>IF(C25="","ADD",COUNTIF($C$9:C25,"&lt;&gt;"))</f>
        <v>ADD</v>
      </c>
      <c r="C25" s="37"/>
      <c r="D25" s="37"/>
      <c r="E25" s="18" t="str">
        <f>IF(C25="","",WORKDAY.INTL(G24,1,"0000111",'Holiday Schedule'!$C$9:$C$18))</f>
        <v/>
      </c>
      <c r="F25" s="18"/>
      <c r="G25" s="18" t="str">
        <f>IF(OR(C25="",I25=""),"",WORKDAY.INTL(E25,IF(J25="",I25,J25)-1,"0000111",'Holiday Schedule'!$C$9:$C$18))</f>
        <v/>
      </c>
      <c r="H25" s="18"/>
      <c r="I25" s="11"/>
      <c r="J25" s="11"/>
      <c r="K25" s="7"/>
      <c r="L25" s="11" t="str">
        <f t="shared" ca="1" si="3"/>
        <v/>
      </c>
      <c r="M25" s="11" t="s">
        <v>37</v>
      </c>
      <c r="N25" s="36"/>
      <c r="O25" s="36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t="str">
        <f t="shared" si="4"/>
        <v/>
      </c>
    </row>
    <row r="26" spans="1:119" ht="18.95" customHeight="1" x14ac:dyDescent="0.25"/>
    <row r="27" spans="1:119" ht="18.95" customHeight="1" x14ac:dyDescent="0.25"/>
    <row r="28" spans="1:119" ht="18.95" customHeight="1" x14ac:dyDescent="0.25"/>
    <row r="29" spans="1:119" ht="18.95" customHeight="1" x14ac:dyDescent="0.25"/>
    <row r="30" spans="1:119" ht="18.95" customHeight="1" x14ac:dyDescent="0.25"/>
    <row r="31" spans="1:119" ht="18.95" customHeight="1" x14ac:dyDescent="0.25"/>
    <row r="32" spans="1:119" ht="18.95" customHeight="1" x14ac:dyDescent="0.25"/>
    <row r="33" spans="5:119" ht="18.95" customHeight="1" x14ac:dyDescent="0.25"/>
    <row r="34" spans="5:119" ht="18.95" customHeight="1" x14ac:dyDescent="0.25"/>
    <row r="35" spans="5:119" ht="18.95" customHeight="1" x14ac:dyDescent="0.25">
      <c r="E35" s="20"/>
      <c r="F35" s="20"/>
      <c r="G35" s="20"/>
      <c r="H35" s="20"/>
      <c r="K35" s="21"/>
      <c r="L35" t="str">
        <f t="shared" ref="L35:L96" ca="1" si="7">IF(C35="","",IF(K35&gt;=1,"Complete",IF(TODAY()&lt;E35,"Not Started",IF(K35&gt;=NETWORKDAYS.INTL(E35,MIN(TODAY(),G35),"0001111")/NETWORKDAYS.INTL(E35,G35,"0001111"),"On Track","Behind"))))</f>
        <v/>
      </c>
      <c r="O35" s="31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  <c r="BN35" s="35"/>
      <c r="BO35" s="35"/>
      <c r="BP35" s="35"/>
      <c r="BQ35" s="35"/>
      <c r="BR35" s="35"/>
      <c r="BS35" s="35"/>
      <c r="BT35" s="35"/>
      <c r="BU35" s="35"/>
      <c r="BV35" s="35"/>
      <c r="BW35" s="35"/>
      <c r="BX35" s="35"/>
      <c r="BY35" s="35"/>
      <c r="BZ35" s="35"/>
      <c r="CA35" s="35"/>
      <c r="CB35" s="35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  <c r="CX35" s="35"/>
      <c r="CY35" s="35"/>
      <c r="CZ35" s="35"/>
      <c r="DA35" s="35"/>
      <c r="DB35" s="35"/>
      <c r="DC35" s="35"/>
      <c r="DD35" s="35"/>
      <c r="DE35" s="35"/>
      <c r="DF35" s="35"/>
      <c r="DG35" s="35"/>
      <c r="DH35" s="35"/>
      <c r="DI35" s="35"/>
      <c r="DJ35" s="35"/>
      <c r="DK35" s="35"/>
      <c r="DL35" s="35"/>
      <c r="DM35" s="35"/>
      <c r="DN35" s="35"/>
      <c r="DO35" t="str">
        <f t="shared" si="4"/>
        <v/>
      </c>
    </row>
    <row r="36" spans="5:119" ht="18.95" customHeight="1" x14ac:dyDescent="0.25">
      <c r="E36" s="20"/>
      <c r="F36" s="20"/>
      <c r="G36" s="20"/>
      <c r="H36" s="20"/>
      <c r="K36" s="21"/>
      <c r="L36" t="str">
        <f t="shared" ca="1" si="7"/>
        <v/>
      </c>
      <c r="O36" s="23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5"/>
      <c r="BM36" s="35"/>
      <c r="BN36" s="35"/>
      <c r="BO36" s="35"/>
      <c r="BP36" s="35"/>
      <c r="BQ36" s="35"/>
      <c r="BR36" s="35"/>
      <c r="BS36" s="35"/>
      <c r="BT36" s="35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  <c r="CX36" s="35"/>
      <c r="CY36" s="35"/>
      <c r="CZ36" s="35"/>
      <c r="DA36" s="35"/>
      <c r="DB36" s="35"/>
      <c r="DC36" s="35"/>
      <c r="DD36" s="35"/>
      <c r="DE36" s="35"/>
      <c r="DF36" s="35"/>
      <c r="DG36" s="35"/>
      <c r="DH36" s="35"/>
      <c r="DI36" s="35"/>
      <c r="DJ36" s="35"/>
      <c r="DK36" s="35"/>
      <c r="DL36" s="35"/>
      <c r="DM36" s="35"/>
      <c r="DN36" s="35"/>
      <c r="DO36" t="str">
        <f t="shared" si="4"/>
        <v/>
      </c>
    </row>
    <row r="37" spans="5:119" ht="18.95" customHeight="1" x14ac:dyDescent="0.25">
      <c r="E37" s="20"/>
      <c r="F37" s="20"/>
      <c r="G37" s="20"/>
      <c r="H37" s="20"/>
      <c r="K37" s="21"/>
      <c r="L37" t="str">
        <f t="shared" ca="1" si="7"/>
        <v/>
      </c>
      <c r="O37" s="31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  <c r="CX37" s="35"/>
      <c r="CY37" s="35"/>
      <c r="CZ37" s="35"/>
      <c r="DA37" s="35"/>
      <c r="DB37" s="35"/>
      <c r="DC37" s="35"/>
      <c r="DD37" s="35"/>
      <c r="DE37" s="35"/>
      <c r="DF37" s="35"/>
      <c r="DG37" s="35"/>
      <c r="DH37" s="35"/>
      <c r="DI37" s="35"/>
      <c r="DJ37" s="35"/>
      <c r="DK37" s="35"/>
      <c r="DL37" s="35"/>
      <c r="DM37" s="35"/>
      <c r="DN37" s="35"/>
      <c r="DO37" t="str">
        <f t="shared" si="4"/>
        <v/>
      </c>
    </row>
    <row r="38" spans="5:119" ht="18.95" customHeight="1" x14ac:dyDescent="0.25">
      <c r="E38" s="20"/>
      <c r="F38" s="20"/>
      <c r="G38" s="20"/>
      <c r="H38" s="20"/>
      <c r="K38" s="21"/>
      <c r="L38" t="str">
        <f t="shared" ca="1" si="7"/>
        <v/>
      </c>
      <c r="O38" s="23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5"/>
      <c r="BM38" s="35"/>
      <c r="BN38" s="35"/>
      <c r="BO38" s="35"/>
      <c r="BP38" s="35"/>
      <c r="BQ38" s="35"/>
      <c r="BR38" s="35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35"/>
      <c r="CD38" s="35"/>
      <c r="CE38" s="35"/>
      <c r="CF38" s="35"/>
      <c r="CG38" s="35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35"/>
      <c r="CT38" s="35"/>
      <c r="CU38" s="35"/>
      <c r="CV38" s="35"/>
      <c r="CW38" s="35"/>
      <c r="CX38" s="35"/>
      <c r="CY38" s="35"/>
      <c r="CZ38" s="35"/>
      <c r="DA38" s="35"/>
      <c r="DB38" s="35"/>
      <c r="DC38" s="35"/>
      <c r="DD38" s="35"/>
      <c r="DE38" s="35"/>
      <c r="DF38" s="35"/>
      <c r="DG38" s="35"/>
      <c r="DH38" s="35"/>
      <c r="DI38" s="35"/>
      <c r="DJ38" s="35"/>
      <c r="DK38" s="35"/>
      <c r="DL38" s="35"/>
      <c r="DM38" s="35"/>
      <c r="DN38" s="35"/>
      <c r="DO38" t="str">
        <f t="shared" si="4"/>
        <v/>
      </c>
    </row>
    <row r="39" spans="5:119" ht="18.95" customHeight="1" x14ac:dyDescent="0.25">
      <c r="E39" s="20"/>
      <c r="F39" s="20"/>
      <c r="G39" s="20"/>
      <c r="H39" s="20"/>
      <c r="K39" s="21"/>
      <c r="L39" t="str">
        <f t="shared" ca="1" si="7"/>
        <v/>
      </c>
      <c r="O39" s="31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5"/>
      <c r="BM39" s="35"/>
      <c r="BN39" s="35"/>
      <c r="BO39" s="35"/>
      <c r="BP39" s="35"/>
      <c r="BQ39" s="35"/>
      <c r="BR39" s="35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35"/>
      <c r="CD39" s="35"/>
      <c r="CE39" s="35"/>
      <c r="CF39" s="35"/>
      <c r="CG39" s="35"/>
      <c r="CH39" s="35"/>
      <c r="CI39" s="35"/>
      <c r="CJ39" s="35"/>
      <c r="CK39" s="35"/>
      <c r="CL39" s="35"/>
      <c r="CM39" s="35"/>
      <c r="CN39" s="35"/>
      <c r="CO39" s="35"/>
      <c r="CP39" s="35"/>
      <c r="CQ39" s="35"/>
      <c r="CR39" s="35"/>
      <c r="CS39" s="35"/>
      <c r="CT39" s="35"/>
      <c r="CU39" s="35"/>
      <c r="CV39" s="35"/>
      <c r="CW39" s="35"/>
      <c r="CX39" s="35"/>
      <c r="CY39" s="35"/>
      <c r="CZ39" s="35"/>
      <c r="DA39" s="35"/>
      <c r="DB39" s="35"/>
      <c r="DC39" s="35"/>
      <c r="DD39" s="35"/>
      <c r="DE39" s="35"/>
      <c r="DF39" s="35"/>
      <c r="DG39" s="35"/>
      <c r="DH39" s="35"/>
      <c r="DI39" s="35"/>
      <c r="DJ39" s="35"/>
      <c r="DK39" s="35"/>
      <c r="DL39" s="35"/>
      <c r="DM39" s="35"/>
      <c r="DN39" s="35"/>
      <c r="DO39" t="str">
        <f t="shared" si="4"/>
        <v/>
      </c>
    </row>
    <row r="40" spans="5:119" ht="18.95" customHeight="1" x14ac:dyDescent="0.25">
      <c r="E40" s="20"/>
      <c r="F40" s="20"/>
      <c r="G40" s="20"/>
      <c r="H40" s="20"/>
      <c r="K40" s="21"/>
      <c r="L40" t="str">
        <f t="shared" ca="1" si="7"/>
        <v/>
      </c>
      <c r="O40" s="23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  <c r="CD40" s="35"/>
      <c r="CE40" s="35"/>
      <c r="CF40" s="35"/>
      <c r="CG40" s="35"/>
      <c r="CH40" s="35"/>
      <c r="CI40" s="35"/>
      <c r="CJ40" s="35"/>
      <c r="CK40" s="35"/>
      <c r="CL40" s="35"/>
      <c r="CM40" s="35"/>
      <c r="CN40" s="35"/>
      <c r="CO40" s="35"/>
      <c r="CP40" s="35"/>
      <c r="CQ40" s="35"/>
      <c r="CR40" s="35"/>
      <c r="CS40" s="35"/>
      <c r="CT40" s="35"/>
      <c r="CU40" s="35"/>
      <c r="CV40" s="35"/>
      <c r="CW40" s="35"/>
      <c r="CX40" s="35"/>
      <c r="CY40" s="35"/>
      <c r="CZ40" s="35"/>
      <c r="DA40" s="35"/>
      <c r="DB40" s="35"/>
      <c r="DC40" s="35"/>
      <c r="DD40" s="35"/>
      <c r="DE40" s="35"/>
      <c r="DF40" s="35"/>
      <c r="DG40" s="35"/>
      <c r="DH40" s="35"/>
      <c r="DI40" s="35"/>
      <c r="DJ40" s="35"/>
      <c r="DK40" s="35"/>
      <c r="DL40" s="35"/>
      <c r="DM40" s="35"/>
      <c r="DN40" s="35"/>
      <c r="DO40" t="str">
        <f t="shared" si="4"/>
        <v/>
      </c>
    </row>
    <row r="41" spans="5:119" ht="18.95" customHeight="1" x14ac:dyDescent="0.25">
      <c r="E41" s="20"/>
      <c r="F41" s="20"/>
      <c r="G41" s="20"/>
      <c r="H41" s="20"/>
      <c r="K41" s="21"/>
      <c r="L41" t="str">
        <f t="shared" ca="1" si="7"/>
        <v/>
      </c>
      <c r="O41" s="31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5"/>
      <c r="BM41" s="35"/>
      <c r="BN41" s="35"/>
      <c r="BO41" s="35"/>
      <c r="BP41" s="35"/>
      <c r="BQ41" s="35"/>
      <c r="BR41" s="35"/>
      <c r="BS41" s="35"/>
      <c r="BT41" s="35"/>
      <c r="BU41" s="35"/>
      <c r="BV41" s="35"/>
      <c r="BW41" s="35"/>
      <c r="BX41" s="35"/>
      <c r="BY41" s="35"/>
      <c r="BZ41" s="35"/>
      <c r="CA41" s="35"/>
      <c r="CB41" s="35"/>
      <c r="CC41" s="35"/>
      <c r="CD41" s="35"/>
      <c r="CE41" s="35"/>
      <c r="CF41" s="35"/>
      <c r="CG41" s="35"/>
      <c r="CH41" s="35"/>
      <c r="CI41" s="35"/>
      <c r="CJ41" s="35"/>
      <c r="CK41" s="35"/>
      <c r="CL41" s="35"/>
      <c r="CM41" s="35"/>
      <c r="CN41" s="35"/>
      <c r="CO41" s="35"/>
      <c r="CP41" s="35"/>
      <c r="CQ41" s="35"/>
      <c r="CR41" s="35"/>
      <c r="CS41" s="35"/>
      <c r="CT41" s="35"/>
      <c r="CU41" s="35"/>
      <c r="CV41" s="35"/>
      <c r="CW41" s="35"/>
      <c r="CX41" s="35"/>
      <c r="CY41" s="35"/>
      <c r="CZ41" s="35"/>
      <c r="DA41" s="35"/>
      <c r="DB41" s="35"/>
      <c r="DC41" s="35"/>
      <c r="DD41" s="35"/>
      <c r="DE41" s="35"/>
      <c r="DF41" s="35"/>
      <c r="DG41" s="35"/>
      <c r="DH41" s="35"/>
      <c r="DI41" s="35"/>
      <c r="DJ41" s="35"/>
      <c r="DK41" s="35"/>
      <c r="DL41" s="35"/>
      <c r="DM41" s="35"/>
      <c r="DN41" s="35"/>
      <c r="DO41" t="str">
        <f t="shared" si="4"/>
        <v/>
      </c>
    </row>
    <row r="42" spans="5:119" ht="18.95" customHeight="1" x14ac:dyDescent="0.25">
      <c r="E42" s="20"/>
      <c r="F42" s="20"/>
      <c r="G42" s="20"/>
      <c r="H42" s="20"/>
      <c r="K42" s="21"/>
      <c r="L42" t="str">
        <f t="shared" ca="1" si="7"/>
        <v/>
      </c>
      <c r="O42" s="23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/>
      <c r="CD42" s="35"/>
      <c r="CE42" s="35"/>
      <c r="CF42" s="35"/>
      <c r="CG42" s="35"/>
      <c r="CH42" s="35"/>
      <c r="CI42" s="35"/>
      <c r="CJ42" s="35"/>
      <c r="CK42" s="35"/>
      <c r="CL42" s="35"/>
      <c r="CM42" s="35"/>
      <c r="CN42" s="35"/>
      <c r="CO42" s="35"/>
      <c r="CP42" s="35"/>
      <c r="CQ42" s="35"/>
      <c r="CR42" s="35"/>
      <c r="CS42" s="35"/>
      <c r="CT42" s="35"/>
      <c r="CU42" s="35"/>
      <c r="CV42" s="35"/>
      <c r="CW42" s="35"/>
      <c r="CX42" s="35"/>
      <c r="CY42" s="35"/>
      <c r="CZ42" s="35"/>
      <c r="DA42" s="35"/>
      <c r="DB42" s="35"/>
      <c r="DC42" s="35"/>
      <c r="DD42" s="35"/>
      <c r="DE42" s="35"/>
      <c r="DF42" s="35"/>
      <c r="DG42" s="35"/>
      <c r="DH42" s="35"/>
      <c r="DI42" s="35"/>
      <c r="DJ42" s="35"/>
      <c r="DK42" s="35"/>
      <c r="DL42" s="35"/>
      <c r="DM42" s="35"/>
      <c r="DN42" s="35"/>
      <c r="DO42" t="str">
        <f t="shared" si="4"/>
        <v/>
      </c>
    </row>
    <row r="43" spans="5:119" ht="18.95" customHeight="1" x14ac:dyDescent="0.25">
      <c r="E43" s="20"/>
      <c r="F43" s="20"/>
      <c r="G43" s="20"/>
      <c r="H43" s="20"/>
      <c r="K43" s="21"/>
      <c r="L43" t="str">
        <f t="shared" ca="1" si="7"/>
        <v/>
      </c>
      <c r="O43" s="31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35"/>
      <c r="CD43" s="35"/>
      <c r="CE43" s="35"/>
      <c r="CF43" s="35"/>
      <c r="CG43" s="35"/>
      <c r="CH43" s="35"/>
      <c r="CI43" s="35"/>
      <c r="CJ43" s="35"/>
      <c r="CK43" s="35"/>
      <c r="CL43" s="35"/>
      <c r="CM43" s="35"/>
      <c r="CN43" s="35"/>
      <c r="CO43" s="35"/>
      <c r="CP43" s="35"/>
      <c r="CQ43" s="35"/>
      <c r="CR43" s="35"/>
      <c r="CS43" s="35"/>
      <c r="CT43" s="35"/>
      <c r="CU43" s="35"/>
      <c r="CV43" s="35"/>
      <c r="CW43" s="35"/>
      <c r="CX43" s="35"/>
      <c r="CY43" s="35"/>
      <c r="CZ43" s="35"/>
      <c r="DA43" s="35"/>
      <c r="DB43" s="35"/>
      <c r="DC43" s="35"/>
      <c r="DD43" s="35"/>
      <c r="DE43" s="35"/>
      <c r="DF43" s="35"/>
      <c r="DG43" s="35"/>
      <c r="DH43" s="35"/>
      <c r="DI43" s="35"/>
      <c r="DJ43" s="35"/>
      <c r="DK43" s="35"/>
      <c r="DL43" s="35"/>
      <c r="DM43" s="35"/>
      <c r="DN43" s="35"/>
      <c r="DO43" t="str">
        <f t="shared" si="4"/>
        <v/>
      </c>
    </row>
    <row r="44" spans="5:119" ht="18.95" customHeight="1" x14ac:dyDescent="0.25">
      <c r="E44" s="20"/>
      <c r="F44" s="20"/>
      <c r="G44" s="20"/>
      <c r="H44" s="20"/>
      <c r="K44" s="21"/>
      <c r="L44" t="str">
        <f t="shared" ca="1" si="7"/>
        <v/>
      </c>
      <c r="O44" s="23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5"/>
      <c r="BM44" s="35"/>
      <c r="BN44" s="35"/>
      <c r="BO44" s="35"/>
      <c r="BP44" s="35"/>
      <c r="BQ44" s="35"/>
      <c r="BR44" s="35"/>
      <c r="BS44" s="35"/>
      <c r="BT44" s="35"/>
      <c r="BU44" s="35"/>
      <c r="BV44" s="35"/>
      <c r="BW44" s="35"/>
      <c r="BX44" s="35"/>
      <c r="BY44" s="35"/>
      <c r="BZ44" s="35"/>
      <c r="CA44" s="35"/>
      <c r="CB44" s="35"/>
      <c r="CC44" s="35"/>
      <c r="CD44" s="35"/>
      <c r="CE44" s="35"/>
      <c r="CF44" s="35"/>
      <c r="CG44" s="35"/>
      <c r="CH44" s="35"/>
      <c r="CI44" s="35"/>
      <c r="CJ44" s="35"/>
      <c r="CK44" s="35"/>
      <c r="CL44" s="35"/>
      <c r="CM44" s="35"/>
      <c r="CN44" s="35"/>
      <c r="CO44" s="35"/>
      <c r="CP44" s="35"/>
      <c r="CQ44" s="35"/>
      <c r="CR44" s="35"/>
      <c r="CS44" s="35"/>
      <c r="CT44" s="35"/>
      <c r="CU44" s="35"/>
      <c r="CV44" s="35"/>
      <c r="CW44" s="35"/>
      <c r="CX44" s="35"/>
      <c r="CY44" s="35"/>
      <c r="CZ44" s="35"/>
      <c r="DA44" s="35"/>
      <c r="DB44" s="35"/>
      <c r="DC44" s="35"/>
      <c r="DD44" s="35"/>
      <c r="DE44" s="35"/>
      <c r="DF44" s="35"/>
      <c r="DG44" s="35"/>
      <c r="DH44" s="35"/>
      <c r="DI44" s="35"/>
      <c r="DJ44" s="35"/>
      <c r="DK44" s="35"/>
      <c r="DL44" s="35"/>
      <c r="DM44" s="35"/>
      <c r="DN44" s="35"/>
      <c r="DO44" t="str">
        <f t="shared" si="4"/>
        <v/>
      </c>
    </row>
    <row r="45" spans="5:119" ht="18.95" customHeight="1" x14ac:dyDescent="0.25">
      <c r="E45" s="20"/>
      <c r="F45" s="20"/>
      <c r="G45" s="20"/>
      <c r="H45" s="20"/>
      <c r="K45" s="21"/>
      <c r="L45" t="str">
        <f t="shared" ca="1" si="7"/>
        <v/>
      </c>
      <c r="O45" s="31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35"/>
      <c r="CT45" s="35"/>
      <c r="CU45" s="35"/>
      <c r="CV45" s="35"/>
      <c r="CW45" s="35"/>
      <c r="CX45" s="35"/>
      <c r="CY45" s="35"/>
      <c r="CZ45" s="35"/>
      <c r="DA45" s="35"/>
      <c r="DB45" s="35"/>
      <c r="DC45" s="35"/>
      <c r="DD45" s="35"/>
      <c r="DE45" s="35"/>
      <c r="DF45" s="35"/>
      <c r="DG45" s="35"/>
      <c r="DH45" s="35"/>
      <c r="DI45" s="35"/>
      <c r="DJ45" s="35"/>
      <c r="DK45" s="35"/>
      <c r="DL45" s="35"/>
      <c r="DM45" s="35"/>
      <c r="DN45" s="35"/>
      <c r="DO45" t="str">
        <f t="shared" si="4"/>
        <v/>
      </c>
    </row>
    <row r="46" spans="5:119" ht="18.95" customHeight="1" x14ac:dyDescent="0.25">
      <c r="E46" s="20"/>
      <c r="F46" s="20"/>
      <c r="G46" s="20"/>
      <c r="H46" s="20"/>
      <c r="K46" s="21"/>
      <c r="L46" t="str">
        <f t="shared" ca="1" si="7"/>
        <v/>
      </c>
      <c r="O46" s="23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  <c r="BN46" s="35"/>
      <c r="BO46" s="35"/>
      <c r="BP46" s="35"/>
      <c r="BQ46" s="35"/>
      <c r="BR46" s="35"/>
      <c r="BS46" s="35"/>
      <c r="BT46" s="35"/>
      <c r="BU46" s="35"/>
      <c r="BV46" s="35"/>
      <c r="BW46" s="35"/>
      <c r="BX46" s="35"/>
      <c r="BY46" s="35"/>
      <c r="BZ46" s="35"/>
      <c r="CA46" s="35"/>
      <c r="CB46" s="35"/>
      <c r="CC46" s="35"/>
      <c r="CD46" s="35"/>
      <c r="CE46" s="35"/>
      <c r="CF46" s="35"/>
      <c r="CG46" s="35"/>
      <c r="CH46" s="35"/>
      <c r="CI46" s="35"/>
      <c r="CJ46" s="35"/>
      <c r="CK46" s="35"/>
      <c r="CL46" s="35"/>
      <c r="CM46" s="35"/>
      <c r="CN46" s="35"/>
      <c r="CO46" s="35"/>
      <c r="CP46" s="35"/>
      <c r="CQ46" s="35"/>
      <c r="CR46" s="35"/>
      <c r="CS46" s="35"/>
      <c r="CT46" s="35"/>
      <c r="CU46" s="35"/>
      <c r="CV46" s="35"/>
      <c r="CW46" s="35"/>
      <c r="CX46" s="35"/>
      <c r="CY46" s="35"/>
      <c r="CZ46" s="35"/>
      <c r="DA46" s="35"/>
      <c r="DB46" s="35"/>
      <c r="DC46" s="35"/>
      <c r="DD46" s="35"/>
      <c r="DE46" s="35"/>
      <c r="DF46" s="35"/>
      <c r="DG46" s="35"/>
      <c r="DH46" s="35"/>
      <c r="DI46" s="35"/>
      <c r="DJ46" s="35"/>
      <c r="DK46" s="35"/>
      <c r="DL46" s="35"/>
      <c r="DM46" s="35"/>
      <c r="DN46" s="35"/>
      <c r="DO46" t="str">
        <f t="shared" si="4"/>
        <v/>
      </c>
    </row>
    <row r="47" spans="5:119" ht="18.95" customHeight="1" x14ac:dyDescent="0.25">
      <c r="E47" s="20"/>
      <c r="F47" s="20"/>
      <c r="G47" s="20"/>
      <c r="H47" s="20"/>
      <c r="K47" s="21"/>
      <c r="L47" t="str">
        <f t="shared" ca="1" si="7"/>
        <v/>
      </c>
      <c r="O47" s="31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35"/>
      <c r="CF47" s="35"/>
      <c r="CG47" s="35"/>
      <c r="CH47" s="35"/>
      <c r="CI47" s="35"/>
      <c r="CJ47" s="35"/>
      <c r="CK47" s="35"/>
      <c r="CL47" s="35"/>
      <c r="CM47" s="35"/>
      <c r="CN47" s="35"/>
      <c r="CO47" s="35"/>
      <c r="CP47" s="35"/>
      <c r="CQ47" s="35"/>
      <c r="CR47" s="35"/>
      <c r="CS47" s="35"/>
      <c r="CT47" s="35"/>
      <c r="CU47" s="35"/>
      <c r="CV47" s="35"/>
      <c r="CW47" s="35"/>
      <c r="CX47" s="35"/>
      <c r="CY47" s="35"/>
      <c r="CZ47" s="35"/>
      <c r="DA47" s="35"/>
      <c r="DB47" s="35"/>
      <c r="DC47" s="35"/>
      <c r="DD47" s="35"/>
      <c r="DE47" s="35"/>
      <c r="DF47" s="35"/>
      <c r="DG47" s="35"/>
      <c r="DH47" s="35"/>
      <c r="DI47" s="35"/>
      <c r="DJ47" s="35"/>
      <c r="DK47" s="35"/>
      <c r="DL47" s="35"/>
      <c r="DM47" s="35"/>
      <c r="DN47" s="35"/>
      <c r="DO47" t="str">
        <f t="shared" si="4"/>
        <v/>
      </c>
    </row>
    <row r="48" spans="5:119" ht="18.95" customHeight="1" x14ac:dyDescent="0.25">
      <c r="E48" s="20"/>
      <c r="F48" s="20"/>
      <c r="G48" s="20"/>
      <c r="H48" s="20"/>
      <c r="K48" s="21"/>
      <c r="L48" t="str">
        <f t="shared" ca="1" si="7"/>
        <v/>
      </c>
      <c r="O48" s="23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35"/>
      <c r="DN48" s="35"/>
      <c r="DO48" t="str">
        <f t="shared" si="4"/>
        <v/>
      </c>
    </row>
    <row r="49" spans="5:119" ht="18.95" customHeight="1" x14ac:dyDescent="0.25">
      <c r="E49" s="20"/>
      <c r="F49" s="20"/>
      <c r="G49" s="20"/>
      <c r="H49" s="20"/>
      <c r="K49" s="21"/>
      <c r="L49" t="str">
        <f t="shared" ca="1" si="7"/>
        <v/>
      </c>
      <c r="O49" s="31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5"/>
      <c r="BZ49" s="35"/>
      <c r="CA49" s="35"/>
      <c r="CB49" s="35"/>
      <c r="CC49" s="35"/>
      <c r="CD49" s="35"/>
      <c r="CE49" s="35"/>
      <c r="CF49" s="35"/>
      <c r="CG49" s="35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35"/>
      <c r="CT49" s="35"/>
      <c r="CU49" s="35"/>
      <c r="CV49" s="35"/>
      <c r="CW49" s="35"/>
      <c r="CX49" s="35"/>
      <c r="CY49" s="35"/>
      <c r="CZ49" s="35"/>
      <c r="DA49" s="35"/>
      <c r="DB49" s="35"/>
      <c r="DC49" s="35"/>
      <c r="DD49" s="35"/>
      <c r="DE49" s="35"/>
      <c r="DF49" s="35"/>
      <c r="DG49" s="35"/>
      <c r="DH49" s="35"/>
      <c r="DI49" s="35"/>
      <c r="DJ49" s="35"/>
      <c r="DK49" s="35"/>
      <c r="DL49" s="35"/>
      <c r="DM49" s="35"/>
      <c r="DN49" s="35"/>
      <c r="DO49" t="str">
        <f t="shared" si="4"/>
        <v/>
      </c>
    </row>
    <row r="50" spans="5:119" ht="18.95" customHeight="1" x14ac:dyDescent="0.25">
      <c r="E50" s="20"/>
      <c r="F50" s="20"/>
      <c r="G50" s="20"/>
      <c r="H50" s="20"/>
      <c r="K50" s="21"/>
      <c r="L50" t="str">
        <f t="shared" ca="1" si="7"/>
        <v/>
      </c>
      <c r="O50" s="23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35"/>
      <c r="CF50" s="35"/>
      <c r="CG50" s="35"/>
      <c r="CH50" s="35"/>
      <c r="CI50" s="35"/>
      <c r="CJ50" s="35"/>
      <c r="CK50" s="35"/>
      <c r="CL50" s="35"/>
      <c r="CM50" s="35"/>
      <c r="CN50" s="35"/>
      <c r="CO50" s="35"/>
      <c r="CP50" s="35"/>
      <c r="CQ50" s="35"/>
      <c r="CR50" s="35"/>
      <c r="CS50" s="35"/>
      <c r="CT50" s="35"/>
      <c r="CU50" s="35"/>
      <c r="CV50" s="35"/>
      <c r="CW50" s="35"/>
      <c r="CX50" s="35"/>
      <c r="CY50" s="35"/>
      <c r="CZ50" s="35"/>
      <c r="DA50" s="35"/>
      <c r="DB50" s="35"/>
      <c r="DC50" s="35"/>
      <c r="DD50" s="35"/>
      <c r="DE50" s="35"/>
      <c r="DF50" s="35"/>
      <c r="DG50" s="35"/>
      <c r="DH50" s="35"/>
      <c r="DI50" s="35"/>
      <c r="DJ50" s="35"/>
      <c r="DK50" s="35"/>
      <c r="DL50" s="35"/>
      <c r="DM50" s="35"/>
      <c r="DN50" s="35"/>
      <c r="DO50" t="str">
        <f t="shared" si="4"/>
        <v/>
      </c>
    </row>
    <row r="51" spans="5:119" ht="18.95" customHeight="1" x14ac:dyDescent="0.25">
      <c r="E51" s="20"/>
      <c r="F51" s="20"/>
      <c r="G51" s="20"/>
      <c r="H51" s="20"/>
      <c r="K51" s="21"/>
      <c r="L51" t="str">
        <f t="shared" ca="1" si="7"/>
        <v/>
      </c>
      <c r="O51" s="31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5"/>
      <c r="BM51" s="35"/>
      <c r="BN51" s="35"/>
      <c r="BO51" s="35"/>
      <c r="BP51" s="35"/>
      <c r="BQ51" s="35"/>
      <c r="BR51" s="35"/>
      <c r="BS51" s="35"/>
      <c r="BT51" s="35"/>
      <c r="BU51" s="35"/>
      <c r="BV51" s="35"/>
      <c r="BW51" s="35"/>
      <c r="BX51" s="35"/>
      <c r="BY51" s="35"/>
      <c r="BZ51" s="35"/>
      <c r="CA51" s="35"/>
      <c r="CB51" s="35"/>
      <c r="CC51" s="35"/>
      <c r="CD51" s="35"/>
      <c r="CE51" s="35"/>
      <c r="CF51" s="35"/>
      <c r="CG51" s="35"/>
      <c r="CH51" s="35"/>
      <c r="CI51" s="35"/>
      <c r="CJ51" s="35"/>
      <c r="CK51" s="35"/>
      <c r="CL51" s="35"/>
      <c r="CM51" s="35"/>
      <c r="CN51" s="35"/>
      <c r="CO51" s="35"/>
      <c r="CP51" s="35"/>
      <c r="CQ51" s="35"/>
      <c r="CR51" s="35"/>
      <c r="CS51" s="35"/>
      <c r="CT51" s="35"/>
      <c r="CU51" s="35"/>
      <c r="CV51" s="35"/>
      <c r="CW51" s="35"/>
      <c r="CX51" s="35"/>
      <c r="CY51" s="35"/>
      <c r="CZ51" s="35"/>
      <c r="DA51" s="35"/>
      <c r="DB51" s="35"/>
      <c r="DC51" s="35"/>
      <c r="DD51" s="35"/>
      <c r="DE51" s="35"/>
      <c r="DF51" s="35"/>
      <c r="DG51" s="35"/>
      <c r="DH51" s="35"/>
      <c r="DI51" s="35"/>
      <c r="DJ51" s="35"/>
      <c r="DK51" s="35"/>
      <c r="DL51" s="35"/>
      <c r="DM51" s="35"/>
      <c r="DN51" s="35"/>
      <c r="DO51" t="str">
        <f t="shared" si="4"/>
        <v/>
      </c>
    </row>
    <row r="52" spans="5:119" ht="18.95" customHeight="1" x14ac:dyDescent="0.25">
      <c r="E52" s="20"/>
      <c r="F52" s="20"/>
      <c r="G52" s="20"/>
      <c r="H52" s="20"/>
      <c r="K52" s="21"/>
      <c r="L52" t="str">
        <f t="shared" ca="1" si="7"/>
        <v/>
      </c>
      <c r="O52" s="23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35"/>
      <c r="BT52" s="35"/>
      <c r="BU52" s="35"/>
      <c r="BV52" s="35"/>
      <c r="BW52" s="35"/>
      <c r="BX52" s="35"/>
      <c r="BY52" s="35"/>
      <c r="BZ52" s="35"/>
      <c r="CA52" s="35"/>
      <c r="CB52" s="35"/>
      <c r="CC52" s="35"/>
      <c r="CD52" s="35"/>
      <c r="CE52" s="35"/>
      <c r="CF52" s="35"/>
      <c r="CG52" s="35"/>
      <c r="CH52" s="35"/>
      <c r="CI52" s="35"/>
      <c r="CJ52" s="35"/>
      <c r="CK52" s="35"/>
      <c r="CL52" s="35"/>
      <c r="CM52" s="35"/>
      <c r="CN52" s="35"/>
      <c r="CO52" s="35"/>
      <c r="CP52" s="35"/>
      <c r="CQ52" s="35"/>
      <c r="CR52" s="35"/>
      <c r="CS52" s="35"/>
      <c r="CT52" s="35"/>
      <c r="CU52" s="35"/>
      <c r="CV52" s="35"/>
      <c r="CW52" s="35"/>
      <c r="CX52" s="35"/>
      <c r="CY52" s="35"/>
      <c r="CZ52" s="35"/>
      <c r="DA52" s="35"/>
      <c r="DB52" s="35"/>
      <c r="DC52" s="35"/>
      <c r="DD52" s="35"/>
      <c r="DE52" s="35"/>
      <c r="DF52" s="35"/>
      <c r="DG52" s="35"/>
      <c r="DH52" s="35"/>
      <c r="DI52" s="35"/>
      <c r="DJ52" s="35"/>
      <c r="DK52" s="35"/>
      <c r="DL52" s="35"/>
      <c r="DM52" s="35"/>
      <c r="DN52" s="35"/>
      <c r="DO52" t="str">
        <f t="shared" si="4"/>
        <v/>
      </c>
    </row>
    <row r="53" spans="5:119" ht="18.95" customHeight="1" x14ac:dyDescent="0.25">
      <c r="E53" s="20"/>
      <c r="F53" s="20"/>
      <c r="G53" s="20"/>
      <c r="H53" s="20"/>
      <c r="K53" s="21"/>
      <c r="L53" t="str">
        <f t="shared" ca="1" si="7"/>
        <v/>
      </c>
      <c r="O53" s="31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  <c r="BV53" s="35"/>
      <c r="BW53" s="35"/>
      <c r="BX53" s="35"/>
      <c r="BY53" s="35"/>
      <c r="BZ53" s="35"/>
      <c r="CA53" s="35"/>
      <c r="CB53" s="35"/>
      <c r="CC53" s="35"/>
      <c r="CD53" s="35"/>
      <c r="CE53" s="35"/>
      <c r="CF53" s="35"/>
      <c r="CG53" s="35"/>
      <c r="CH53" s="35"/>
      <c r="CI53" s="35"/>
      <c r="CJ53" s="35"/>
      <c r="CK53" s="35"/>
      <c r="CL53" s="35"/>
      <c r="CM53" s="35"/>
      <c r="CN53" s="35"/>
      <c r="CO53" s="35"/>
      <c r="CP53" s="35"/>
      <c r="CQ53" s="35"/>
      <c r="CR53" s="35"/>
      <c r="CS53" s="35"/>
      <c r="CT53" s="35"/>
      <c r="CU53" s="35"/>
      <c r="CV53" s="35"/>
      <c r="CW53" s="35"/>
      <c r="CX53" s="35"/>
      <c r="CY53" s="35"/>
      <c r="CZ53" s="35"/>
      <c r="DA53" s="35"/>
      <c r="DB53" s="35"/>
      <c r="DC53" s="35"/>
      <c r="DD53" s="35"/>
      <c r="DE53" s="35"/>
      <c r="DF53" s="35"/>
      <c r="DG53" s="35"/>
      <c r="DH53" s="35"/>
      <c r="DI53" s="35"/>
      <c r="DJ53" s="35"/>
      <c r="DK53" s="35"/>
      <c r="DL53" s="35"/>
      <c r="DM53" s="35"/>
      <c r="DN53" s="35"/>
      <c r="DO53" t="str">
        <f t="shared" si="4"/>
        <v/>
      </c>
    </row>
    <row r="54" spans="5:119" ht="18.95" customHeight="1" x14ac:dyDescent="0.25">
      <c r="E54" s="20"/>
      <c r="F54" s="20"/>
      <c r="G54" s="20"/>
      <c r="H54" s="20"/>
      <c r="K54" s="21"/>
      <c r="L54" t="str">
        <f t="shared" ca="1" si="7"/>
        <v/>
      </c>
      <c r="O54" s="23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  <c r="BV54" s="35"/>
      <c r="BW54" s="35"/>
      <c r="BX54" s="35"/>
      <c r="BY54" s="35"/>
      <c r="BZ54" s="35"/>
      <c r="CA54" s="35"/>
      <c r="CB54" s="35"/>
      <c r="CC54" s="35"/>
      <c r="CD54" s="35"/>
      <c r="CE54" s="35"/>
      <c r="CF54" s="35"/>
      <c r="CG54" s="35"/>
      <c r="CH54" s="35"/>
      <c r="CI54" s="35"/>
      <c r="CJ54" s="35"/>
      <c r="CK54" s="35"/>
      <c r="CL54" s="35"/>
      <c r="CM54" s="35"/>
      <c r="CN54" s="35"/>
      <c r="CO54" s="35"/>
      <c r="CP54" s="35"/>
      <c r="CQ54" s="35"/>
      <c r="CR54" s="35"/>
      <c r="CS54" s="35"/>
      <c r="CT54" s="35"/>
      <c r="CU54" s="35"/>
      <c r="CV54" s="35"/>
      <c r="CW54" s="35"/>
      <c r="CX54" s="35"/>
      <c r="CY54" s="35"/>
      <c r="CZ54" s="35"/>
      <c r="DA54" s="35"/>
      <c r="DB54" s="35"/>
      <c r="DC54" s="35"/>
      <c r="DD54" s="35"/>
      <c r="DE54" s="35"/>
      <c r="DF54" s="35"/>
      <c r="DG54" s="35"/>
      <c r="DH54" s="35"/>
      <c r="DI54" s="35"/>
      <c r="DJ54" s="35"/>
      <c r="DK54" s="35"/>
      <c r="DL54" s="35"/>
      <c r="DM54" s="35"/>
      <c r="DN54" s="35"/>
      <c r="DO54" t="str">
        <f t="shared" si="4"/>
        <v/>
      </c>
    </row>
    <row r="55" spans="5:119" ht="18.95" customHeight="1" x14ac:dyDescent="0.25">
      <c r="E55" s="20"/>
      <c r="F55" s="20"/>
      <c r="G55" s="20"/>
      <c r="H55" s="20"/>
      <c r="K55" s="21"/>
      <c r="L55" t="str">
        <f t="shared" ca="1" si="7"/>
        <v/>
      </c>
      <c r="O55" s="31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5"/>
      <c r="BM55" s="35"/>
      <c r="BN55" s="35"/>
      <c r="BO55" s="35"/>
      <c r="BP55" s="35"/>
      <c r="BQ55" s="35"/>
      <c r="BR55" s="35"/>
      <c r="BS55" s="35"/>
      <c r="BT55" s="35"/>
      <c r="BU55" s="35"/>
      <c r="BV55" s="35"/>
      <c r="BW55" s="35"/>
      <c r="BX55" s="35"/>
      <c r="BY55" s="35"/>
      <c r="BZ55" s="35"/>
      <c r="CA55" s="35"/>
      <c r="CB55" s="35"/>
      <c r="CC55" s="35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5"/>
      <c r="CX55" s="35"/>
      <c r="CY55" s="35"/>
      <c r="CZ55" s="35"/>
      <c r="DA55" s="35"/>
      <c r="DB55" s="35"/>
      <c r="DC55" s="35"/>
      <c r="DD55" s="35"/>
      <c r="DE55" s="35"/>
      <c r="DF55" s="35"/>
      <c r="DG55" s="35"/>
      <c r="DH55" s="35"/>
      <c r="DI55" s="35"/>
      <c r="DJ55" s="35"/>
      <c r="DK55" s="35"/>
      <c r="DL55" s="35"/>
      <c r="DM55" s="35"/>
      <c r="DN55" s="35"/>
      <c r="DO55" t="str">
        <f t="shared" si="4"/>
        <v/>
      </c>
    </row>
    <row r="56" spans="5:119" ht="18.95" customHeight="1" x14ac:dyDescent="0.25">
      <c r="E56" s="20"/>
      <c r="F56" s="20"/>
      <c r="G56" s="20"/>
      <c r="H56" s="20"/>
      <c r="K56" s="21"/>
      <c r="L56" t="str">
        <f t="shared" ca="1" si="7"/>
        <v/>
      </c>
      <c r="O56" s="23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5"/>
      <c r="BM56" s="35"/>
      <c r="BN56" s="35"/>
      <c r="BO56" s="35"/>
      <c r="BP56" s="35"/>
      <c r="BQ56" s="35"/>
      <c r="BR56" s="35"/>
      <c r="BS56" s="35"/>
      <c r="BT56" s="35"/>
      <c r="BU56" s="35"/>
      <c r="BV56" s="35"/>
      <c r="BW56" s="35"/>
      <c r="BX56" s="35"/>
      <c r="BY56" s="35"/>
      <c r="BZ56" s="35"/>
      <c r="CA56" s="35"/>
      <c r="CB56" s="35"/>
      <c r="CC56" s="35"/>
      <c r="CD56" s="35"/>
      <c r="CE56" s="35"/>
      <c r="CF56" s="35"/>
      <c r="CG56" s="35"/>
      <c r="CH56" s="35"/>
      <c r="CI56" s="35"/>
      <c r="CJ56" s="35"/>
      <c r="CK56" s="35"/>
      <c r="CL56" s="35"/>
      <c r="CM56" s="35"/>
      <c r="CN56" s="35"/>
      <c r="CO56" s="35"/>
      <c r="CP56" s="35"/>
      <c r="CQ56" s="35"/>
      <c r="CR56" s="35"/>
      <c r="CS56" s="35"/>
      <c r="CT56" s="35"/>
      <c r="CU56" s="35"/>
      <c r="CV56" s="35"/>
      <c r="CW56" s="35"/>
      <c r="CX56" s="35"/>
      <c r="CY56" s="35"/>
      <c r="CZ56" s="35"/>
      <c r="DA56" s="35"/>
      <c r="DB56" s="35"/>
      <c r="DC56" s="35"/>
      <c r="DD56" s="35"/>
      <c r="DE56" s="35"/>
      <c r="DF56" s="35"/>
      <c r="DG56" s="35"/>
      <c r="DH56" s="35"/>
      <c r="DI56" s="35"/>
      <c r="DJ56" s="35"/>
      <c r="DK56" s="35"/>
      <c r="DL56" s="35"/>
      <c r="DM56" s="35"/>
      <c r="DN56" s="35"/>
      <c r="DO56" t="str">
        <f t="shared" si="4"/>
        <v/>
      </c>
    </row>
    <row r="57" spans="5:119" ht="18.95" customHeight="1" x14ac:dyDescent="0.25">
      <c r="E57" s="20"/>
      <c r="F57" s="20"/>
      <c r="G57" s="20"/>
      <c r="H57" s="20"/>
      <c r="K57" s="21"/>
      <c r="L57" t="str">
        <f t="shared" ca="1" si="7"/>
        <v/>
      </c>
      <c r="O57" s="31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5"/>
      <c r="BM57" s="35"/>
      <c r="BN57" s="35"/>
      <c r="BO57" s="35"/>
      <c r="BP57" s="35"/>
      <c r="BQ57" s="35"/>
      <c r="BR57" s="35"/>
      <c r="BS57" s="35"/>
      <c r="BT57" s="35"/>
      <c r="BU57" s="35"/>
      <c r="BV57" s="35"/>
      <c r="BW57" s="35"/>
      <c r="BX57" s="35"/>
      <c r="BY57" s="35"/>
      <c r="BZ57" s="35"/>
      <c r="CA57" s="35"/>
      <c r="CB57" s="35"/>
      <c r="CC57" s="35"/>
      <c r="CD57" s="35"/>
      <c r="CE57" s="35"/>
      <c r="CF57" s="35"/>
      <c r="CG57" s="35"/>
      <c r="CH57" s="35"/>
      <c r="CI57" s="35"/>
      <c r="CJ57" s="35"/>
      <c r="CK57" s="35"/>
      <c r="CL57" s="35"/>
      <c r="CM57" s="35"/>
      <c r="CN57" s="35"/>
      <c r="CO57" s="35"/>
      <c r="CP57" s="35"/>
      <c r="CQ57" s="35"/>
      <c r="CR57" s="35"/>
      <c r="CS57" s="35"/>
      <c r="CT57" s="35"/>
      <c r="CU57" s="35"/>
      <c r="CV57" s="35"/>
      <c r="CW57" s="35"/>
      <c r="CX57" s="35"/>
      <c r="CY57" s="35"/>
      <c r="CZ57" s="35"/>
      <c r="DA57" s="35"/>
      <c r="DB57" s="35"/>
      <c r="DC57" s="35"/>
      <c r="DD57" s="35"/>
      <c r="DE57" s="35"/>
      <c r="DF57" s="35"/>
      <c r="DG57" s="35"/>
      <c r="DH57" s="35"/>
      <c r="DI57" s="35"/>
      <c r="DJ57" s="35"/>
      <c r="DK57" s="35"/>
      <c r="DL57" s="35"/>
      <c r="DM57" s="35"/>
      <c r="DN57" s="35"/>
      <c r="DO57" t="str">
        <f t="shared" si="4"/>
        <v/>
      </c>
    </row>
    <row r="58" spans="5:119" ht="18.95" customHeight="1" x14ac:dyDescent="0.25">
      <c r="E58" s="20"/>
      <c r="F58" s="20"/>
      <c r="G58" s="20"/>
      <c r="H58" s="20"/>
      <c r="K58" s="21"/>
      <c r="L58" t="str">
        <f t="shared" ca="1" si="7"/>
        <v/>
      </c>
      <c r="O58" s="23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5"/>
      <c r="BM58" s="35"/>
      <c r="BN58" s="35"/>
      <c r="BO58" s="35"/>
      <c r="BP58" s="35"/>
      <c r="BQ58" s="35"/>
      <c r="BR58" s="35"/>
      <c r="BS58" s="35"/>
      <c r="BT58" s="35"/>
      <c r="BU58" s="35"/>
      <c r="BV58" s="35"/>
      <c r="BW58" s="35"/>
      <c r="BX58" s="35"/>
      <c r="BY58" s="35"/>
      <c r="BZ58" s="35"/>
      <c r="CA58" s="35"/>
      <c r="CB58" s="35"/>
      <c r="CC58" s="35"/>
      <c r="CD58" s="35"/>
      <c r="CE58" s="35"/>
      <c r="CF58" s="35"/>
      <c r="CG58" s="35"/>
      <c r="CH58" s="35"/>
      <c r="CI58" s="35"/>
      <c r="CJ58" s="35"/>
      <c r="CK58" s="35"/>
      <c r="CL58" s="35"/>
      <c r="CM58" s="35"/>
      <c r="CN58" s="35"/>
      <c r="CO58" s="35"/>
      <c r="CP58" s="35"/>
      <c r="CQ58" s="35"/>
      <c r="CR58" s="35"/>
      <c r="CS58" s="35"/>
      <c r="CT58" s="35"/>
      <c r="CU58" s="35"/>
      <c r="CV58" s="35"/>
      <c r="CW58" s="35"/>
      <c r="CX58" s="35"/>
      <c r="CY58" s="35"/>
      <c r="CZ58" s="35"/>
      <c r="DA58" s="35"/>
      <c r="DB58" s="35"/>
      <c r="DC58" s="35"/>
      <c r="DD58" s="35"/>
      <c r="DE58" s="35"/>
      <c r="DF58" s="35"/>
      <c r="DG58" s="35"/>
      <c r="DH58" s="35"/>
      <c r="DI58" s="35"/>
      <c r="DJ58" s="35"/>
      <c r="DK58" s="35"/>
      <c r="DL58" s="35"/>
      <c r="DM58" s="35"/>
      <c r="DN58" s="35"/>
      <c r="DO58" t="str">
        <f t="shared" si="4"/>
        <v/>
      </c>
    </row>
    <row r="59" spans="5:119" ht="18.95" customHeight="1" x14ac:dyDescent="0.25">
      <c r="E59" s="20"/>
      <c r="F59" s="20"/>
      <c r="G59" s="20"/>
      <c r="H59" s="20"/>
      <c r="K59" s="21"/>
      <c r="L59" t="str">
        <f t="shared" ca="1" si="7"/>
        <v/>
      </c>
      <c r="O59" s="31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5"/>
      <c r="BM59" s="35"/>
      <c r="BN59" s="35"/>
      <c r="BO59" s="35"/>
      <c r="BP59" s="35"/>
      <c r="BQ59" s="35"/>
      <c r="BR59" s="35"/>
      <c r="BS59" s="35"/>
      <c r="BT59" s="35"/>
      <c r="BU59" s="35"/>
      <c r="BV59" s="35"/>
      <c r="BW59" s="35"/>
      <c r="BX59" s="35"/>
      <c r="BY59" s="35"/>
      <c r="BZ59" s="35"/>
      <c r="CA59" s="35"/>
      <c r="CB59" s="35"/>
      <c r="CC59" s="35"/>
      <c r="CD59" s="35"/>
      <c r="CE59" s="35"/>
      <c r="CF59" s="35"/>
      <c r="CG59" s="35"/>
      <c r="CH59" s="35"/>
      <c r="CI59" s="35"/>
      <c r="CJ59" s="35"/>
      <c r="CK59" s="35"/>
      <c r="CL59" s="35"/>
      <c r="CM59" s="35"/>
      <c r="CN59" s="35"/>
      <c r="CO59" s="35"/>
      <c r="CP59" s="35"/>
      <c r="CQ59" s="35"/>
      <c r="CR59" s="35"/>
      <c r="CS59" s="35"/>
      <c r="CT59" s="35"/>
      <c r="CU59" s="35"/>
      <c r="CV59" s="35"/>
      <c r="CW59" s="35"/>
      <c r="CX59" s="35"/>
      <c r="CY59" s="35"/>
      <c r="CZ59" s="35"/>
      <c r="DA59" s="35"/>
      <c r="DB59" s="35"/>
      <c r="DC59" s="35"/>
      <c r="DD59" s="35"/>
      <c r="DE59" s="35"/>
      <c r="DF59" s="35"/>
      <c r="DG59" s="35"/>
      <c r="DH59" s="35"/>
      <c r="DI59" s="35"/>
      <c r="DJ59" s="35"/>
      <c r="DK59" s="35"/>
      <c r="DL59" s="35"/>
      <c r="DM59" s="35"/>
      <c r="DN59" s="35"/>
      <c r="DO59" t="str">
        <f t="shared" si="4"/>
        <v/>
      </c>
    </row>
    <row r="60" spans="5:119" ht="18.95" customHeight="1" x14ac:dyDescent="0.25">
      <c r="E60" s="20"/>
      <c r="F60" s="20"/>
      <c r="G60" s="20"/>
      <c r="H60" s="20"/>
      <c r="K60" s="21"/>
      <c r="L60" t="str">
        <f t="shared" ca="1" si="7"/>
        <v/>
      </c>
      <c r="O60" s="23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5"/>
      <c r="BM60" s="35"/>
      <c r="BN60" s="35"/>
      <c r="BO60" s="35"/>
      <c r="BP60" s="35"/>
      <c r="BQ60" s="35"/>
      <c r="BR60" s="35"/>
      <c r="BS60" s="35"/>
      <c r="BT60" s="35"/>
      <c r="BU60" s="35"/>
      <c r="BV60" s="35"/>
      <c r="BW60" s="35"/>
      <c r="BX60" s="35"/>
      <c r="BY60" s="35"/>
      <c r="BZ60" s="35"/>
      <c r="CA60" s="35"/>
      <c r="CB60" s="35"/>
      <c r="CC60" s="35"/>
      <c r="CD60" s="35"/>
      <c r="CE60" s="35"/>
      <c r="CF60" s="35"/>
      <c r="CG60" s="35"/>
      <c r="CH60" s="35"/>
      <c r="CI60" s="35"/>
      <c r="CJ60" s="35"/>
      <c r="CK60" s="35"/>
      <c r="CL60" s="35"/>
      <c r="CM60" s="35"/>
      <c r="CN60" s="35"/>
      <c r="CO60" s="35"/>
      <c r="CP60" s="35"/>
      <c r="CQ60" s="35"/>
      <c r="CR60" s="35"/>
      <c r="CS60" s="35"/>
      <c r="CT60" s="35"/>
      <c r="CU60" s="35"/>
      <c r="CV60" s="35"/>
      <c r="CW60" s="35"/>
      <c r="CX60" s="35"/>
      <c r="CY60" s="35"/>
      <c r="CZ60" s="35"/>
      <c r="DA60" s="35"/>
      <c r="DB60" s="35"/>
      <c r="DC60" s="35"/>
      <c r="DD60" s="35"/>
      <c r="DE60" s="35"/>
      <c r="DF60" s="35"/>
      <c r="DG60" s="35"/>
      <c r="DH60" s="35"/>
      <c r="DI60" s="35"/>
      <c r="DJ60" s="35"/>
      <c r="DK60" s="35"/>
      <c r="DL60" s="35"/>
      <c r="DM60" s="35"/>
      <c r="DN60" s="35"/>
      <c r="DO60" t="str">
        <f t="shared" si="4"/>
        <v/>
      </c>
    </row>
    <row r="61" spans="5:119" ht="18.95" customHeight="1" x14ac:dyDescent="0.25">
      <c r="E61" s="20"/>
      <c r="F61" s="20"/>
      <c r="G61" s="20"/>
      <c r="H61" s="20"/>
      <c r="K61" s="21"/>
      <c r="L61" t="str">
        <f t="shared" ca="1" si="7"/>
        <v/>
      </c>
      <c r="O61" s="31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5"/>
      <c r="BM61" s="35"/>
      <c r="BN61" s="35"/>
      <c r="BO61" s="35"/>
      <c r="BP61" s="35"/>
      <c r="BQ61" s="35"/>
      <c r="BR61" s="35"/>
      <c r="BS61" s="35"/>
      <c r="BT61" s="35"/>
      <c r="BU61" s="35"/>
      <c r="BV61" s="35"/>
      <c r="BW61" s="35"/>
      <c r="BX61" s="35"/>
      <c r="BY61" s="35"/>
      <c r="BZ61" s="35"/>
      <c r="CA61" s="35"/>
      <c r="CB61" s="35"/>
      <c r="CC61" s="35"/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5"/>
      <c r="CX61" s="35"/>
      <c r="CY61" s="35"/>
      <c r="CZ61" s="35"/>
      <c r="DA61" s="35"/>
      <c r="DB61" s="35"/>
      <c r="DC61" s="35"/>
      <c r="DD61" s="35"/>
      <c r="DE61" s="35"/>
      <c r="DF61" s="35"/>
      <c r="DG61" s="35"/>
      <c r="DH61" s="35"/>
      <c r="DI61" s="35"/>
      <c r="DJ61" s="35"/>
      <c r="DK61" s="35"/>
      <c r="DL61" s="35"/>
      <c r="DM61" s="35"/>
      <c r="DN61" s="35"/>
      <c r="DO61" t="str">
        <f t="shared" si="4"/>
        <v/>
      </c>
    </row>
    <row r="62" spans="5:119" ht="18.95" customHeight="1" x14ac:dyDescent="0.25">
      <c r="E62" s="20"/>
      <c r="F62" s="20"/>
      <c r="G62" s="20"/>
      <c r="H62" s="20"/>
      <c r="K62" s="21"/>
      <c r="L62" t="str">
        <f t="shared" ca="1" si="7"/>
        <v/>
      </c>
      <c r="O62" s="23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35"/>
      <c r="BU62" s="35"/>
      <c r="BV62" s="35"/>
      <c r="BW62" s="35"/>
      <c r="BX62" s="35"/>
      <c r="BY62" s="35"/>
      <c r="BZ62" s="35"/>
      <c r="CA62" s="35"/>
      <c r="CB62" s="35"/>
      <c r="CC62" s="35"/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5"/>
      <c r="CX62" s="35"/>
      <c r="CY62" s="35"/>
      <c r="CZ62" s="35"/>
      <c r="DA62" s="35"/>
      <c r="DB62" s="35"/>
      <c r="DC62" s="35"/>
      <c r="DD62" s="35"/>
      <c r="DE62" s="35"/>
      <c r="DF62" s="35"/>
      <c r="DG62" s="35"/>
      <c r="DH62" s="35"/>
      <c r="DI62" s="35"/>
      <c r="DJ62" s="35"/>
      <c r="DK62" s="35"/>
      <c r="DL62" s="35"/>
      <c r="DM62" s="35"/>
      <c r="DN62" s="35"/>
      <c r="DO62" t="str">
        <f t="shared" si="4"/>
        <v/>
      </c>
    </row>
    <row r="63" spans="5:119" ht="18.95" customHeight="1" x14ac:dyDescent="0.25">
      <c r="E63" s="20"/>
      <c r="F63" s="20"/>
      <c r="G63" s="20"/>
      <c r="H63" s="20"/>
      <c r="K63" s="21"/>
      <c r="L63" t="str">
        <f t="shared" ca="1" si="7"/>
        <v/>
      </c>
      <c r="O63" s="31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  <c r="DA63" s="35"/>
      <c r="DB63" s="35"/>
      <c r="DC63" s="35"/>
      <c r="DD63" s="35"/>
      <c r="DE63" s="35"/>
      <c r="DF63" s="35"/>
      <c r="DG63" s="35"/>
      <c r="DH63" s="35"/>
      <c r="DI63" s="35"/>
      <c r="DJ63" s="35"/>
      <c r="DK63" s="35"/>
      <c r="DL63" s="35"/>
      <c r="DM63" s="35"/>
      <c r="DN63" s="35"/>
      <c r="DO63" t="str">
        <f t="shared" si="4"/>
        <v/>
      </c>
    </row>
    <row r="64" spans="5:119" ht="18.95" customHeight="1" x14ac:dyDescent="0.25">
      <c r="E64" s="20"/>
      <c r="F64" s="20"/>
      <c r="G64" s="20"/>
      <c r="H64" s="20"/>
      <c r="K64" s="21"/>
      <c r="L64" t="str">
        <f t="shared" ca="1" si="7"/>
        <v/>
      </c>
      <c r="O64" s="23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5"/>
      <c r="BM64" s="35"/>
      <c r="BN64" s="35"/>
      <c r="BO64" s="35"/>
      <c r="BP64" s="35"/>
      <c r="BQ64" s="35"/>
      <c r="BR64" s="35"/>
      <c r="BS64" s="35"/>
      <c r="BT64" s="35"/>
      <c r="BU64" s="35"/>
      <c r="BV64" s="35"/>
      <c r="BW64" s="35"/>
      <c r="BX64" s="35"/>
      <c r="BY64" s="35"/>
      <c r="BZ64" s="35"/>
      <c r="CA64" s="35"/>
      <c r="CB64" s="35"/>
      <c r="CC64" s="35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5"/>
      <c r="CX64" s="35"/>
      <c r="CY64" s="35"/>
      <c r="CZ64" s="35"/>
      <c r="DA64" s="35"/>
      <c r="DB64" s="35"/>
      <c r="DC64" s="35"/>
      <c r="DD64" s="35"/>
      <c r="DE64" s="35"/>
      <c r="DF64" s="35"/>
      <c r="DG64" s="35"/>
      <c r="DH64" s="35"/>
      <c r="DI64" s="35"/>
      <c r="DJ64" s="35"/>
      <c r="DK64" s="35"/>
      <c r="DL64" s="35"/>
      <c r="DM64" s="35"/>
      <c r="DN64" s="35"/>
      <c r="DO64" t="str">
        <f t="shared" si="4"/>
        <v/>
      </c>
    </row>
    <row r="65" spans="5:119" ht="18.95" customHeight="1" x14ac:dyDescent="0.25">
      <c r="E65" s="20"/>
      <c r="F65" s="20"/>
      <c r="G65" s="20"/>
      <c r="H65" s="20"/>
      <c r="K65" s="21"/>
      <c r="L65" t="str">
        <f t="shared" ca="1" si="7"/>
        <v/>
      </c>
      <c r="O65" s="31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5"/>
      <c r="BM65" s="35"/>
      <c r="BN65" s="35"/>
      <c r="BO65" s="35"/>
      <c r="BP65" s="35"/>
      <c r="BQ65" s="35"/>
      <c r="BR65" s="35"/>
      <c r="BS65" s="35"/>
      <c r="BT65" s="35"/>
      <c r="BU65" s="35"/>
      <c r="BV65" s="35"/>
      <c r="BW65" s="35"/>
      <c r="BX65" s="35"/>
      <c r="BY65" s="35"/>
      <c r="BZ65" s="35"/>
      <c r="CA65" s="35"/>
      <c r="CB65" s="35"/>
      <c r="CC65" s="35"/>
      <c r="CD65" s="35"/>
      <c r="CE65" s="35"/>
      <c r="CF65" s="35"/>
      <c r="CG65" s="35"/>
      <c r="CH65" s="35"/>
      <c r="CI65" s="35"/>
      <c r="CJ65" s="35"/>
      <c r="CK65" s="35"/>
      <c r="CL65" s="35"/>
      <c r="CM65" s="35"/>
      <c r="CN65" s="35"/>
      <c r="CO65" s="35"/>
      <c r="CP65" s="35"/>
      <c r="CQ65" s="35"/>
      <c r="CR65" s="35"/>
      <c r="CS65" s="35"/>
      <c r="CT65" s="35"/>
      <c r="CU65" s="35"/>
      <c r="CV65" s="35"/>
      <c r="CW65" s="35"/>
      <c r="CX65" s="35"/>
      <c r="CY65" s="35"/>
      <c r="CZ65" s="35"/>
      <c r="DA65" s="35"/>
      <c r="DB65" s="35"/>
      <c r="DC65" s="35"/>
      <c r="DD65" s="35"/>
      <c r="DE65" s="35"/>
      <c r="DF65" s="35"/>
      <c r="DG65" s="35"/>
      <c r="DH65" s="35"/>
      <c r="DI65" s="35"/>
      <c r="DJ65" s="35"/>
      <c r="DK65" s="35"/>
      <c r="DL65" s="35"/>
      <c r="DM65" s="35"/>
      <c r="DN65" s="35"/>
      <c r="DO65" t="str">
        <f t="shared" si="4"/>
        <v/>
      </c>
    </row>
    <row r="66" spans="5:119" ht="18.95" customHeight="1" x14ac:dyDescent="0.25">
      <c r="E66" s="20"/>
      <c r="F66" s="20"/>
      <c r="G66" s="20"/>
      <c r="H66" s="20"/>
      <c r="K66" s="21"/>
      <c r="L66" t="str">
        <f t="shared" ca="1" si="7"/>
        <v/>
      </c>
      <c r="O66" s="23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35"/>
      <c r="BT66" s="35"/>
      <c r="BU66" s="35"/>
      <c r="BV66" s="35"/>
      <c r="BW66" s="35"/>
      <c r="BX66" s="35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5"/>
      <c r="CS66" s="35"/>
      <c r="CT66" s="35"/>
      <c r="CU66" s="35"/>
      <c r="CV66" s="35"/>
      <c r="CW66" s="35"/>
      <c r="CX66" s="35"/>
      <c r="CY66" s="35"/>
      <c r="CZ66" s="35"/>
      <c r="DA66" s="35"/>
      <c r="DB66" s="35"/>
      <c r="DC66" s="35"/>
      <c r="DD66" s="35"/>
      <c r="DE66" s="35"/>
      <c r="DF66" s="35"/>
      <c r="DG66" s="35"/>
      <c r="DH66" s="35"/>
      <c r="DI66" s="35"/>
      <c r="DJ66" s="35"/>
      <c r="DK66" s="35"/>
      <c r="DL66" s="35"/>
      <c r="DM66" s="35"/>
      <c r="DN66" s="35"/>
      <c r="DO66" t="str">
        <f t="shared" si="4"/>
        <v/>
      </c>
    </row>
    <row r="67" spans="5:119" ht="18.95" customHeight="1" x14ac:dyDescent="0.25">
      <c r="E67" s="20"/>
      <c r="F67" s="20"/>
      <c r="G67" s="20"/>
      <c r="H67" s="20"/>
      <c r="K67" s="21"/>
      <c r="L67" t="str">
        <f t="shared" ca="1" si="7"/>
        <v/>
      </c>
      <c r="O67" s="31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5"/>
      <c r="BM67" s="35"/>
      <c r="BN67" s="35"/>
      <c r="BO67" s="35"/>
      <c r="BP67" s="35"/>
      <c r="BQ67" s="35"/>
      <c r="BR67" s="35"/>
      <c r="BS67" s="35"/>
      <c r="BT67" s="35"/>
      <c r="BU67" s="35"/>
      <c r="BV67" s="35"/>
      <c r="BW67" s="35"/>
      <c r="BX67" s="35"/>
      <c r="BY67" s="35"/>
      <c r="BZ67" s="35"/>
      <c r="CA67" s="35"/>
      <c r="CB67" s="35"/>
      <c r="CC67" s="35"/>
      <c r="CD67" s="35"/>
      <c r="CE67" s="35"/>
      <c r="CF67" s="35"/>
      <c r="CG67" s="35"/>
      <c r="CH67" s="35"/>
      <c r="CI67" s="35"/>
      <c r="CJ67" s="35"/>
      <c r="CK67" s="35"/>
      <c r="CL67" s="35"/>
      <c r="CM67" s="35"/>
      <c r="CN67" s="35"/>
      <c r="CO67" s="35"/>
      <c r="CP67" s="35"/>
      <c r="CQ67" s="35"/>
      <c r="CR67" s="35"/>
      <c r="CS67" s="35"/>
      <c r="CT67" s="35"/>
      <c r="CU67" s="35"/>
      <c r="CV67" s="35"/>
      <c r="CW67" s="35"/>
      <c r="CX67" s="35"/>
      <c r="CY67" s="35"/>
      <c r="CZ67" s="35"/>
      <c r="DA67" s="35"/>
      <c r="DB67" s="35"/>
      <c r="DC67" s="35"/>
      <c r="DD67" s="35"/>
      <c r="DE67" s="35"/>
      <c r="DF67" s="35"/>
      <c r="DG67" s="35"/>
      <c r="DH67" s="35"/>
      <c r="DI67" s="35"/>
      <c r="DJ67" s="35"/>
      <c r="DK67" s="35"/>
      <c r="DL67" s="35"/>
      <c r="DM67" s="35"/>
      <c r="DN67" s="35"/>
      <c r="DO67" t="str">
        <f t="shared" si="4"/>
        <v/>
      </c>
    </row>
    <row r="68" spans="5:119" ht="18.95" customHeight="1" x14ac:dyDescent="0.25">
      <c r="E68" s="20"/>
      <c r="F68" s="20"/>
      <c r="G68" s="20"/>
      <c r="H68" s="20"/>
      <c r="K68" s="21"/>
      <c r="L68" t="str">
        <f t="shared" ca="1" si="7"/>
        <v/>
      </c>
      <c r="O68" s="23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5"/>
      <c r="BM68" s="35"/>
      <c r="BN68" s="35"/>
      <c r="BO68" s="35"/>
      <c r="BP68" s="35"/>
      <c r="BQ68" s="35"/>
      <c r="BR68" s="35"/>
      <c r="BS68" s="35"/>
      <c r="BT68" s="35"/>
      <c r="BU68" s="35"/>
      <c r="BV68" s="35"/>
      <c r="BW68" s="35"/>
      <c r="BX68" s="35"/>
      <c r="BY68" s="35"/>
      <c r="BZ68" s="35"/>
      <c r="CA68" s="35"/>
      <c r="CB68" s="35"/>
      <c r="CC68" s="35"/>
      <c r="CD68" s="35"/>
      <c r="CE68" s="35"/>
      <c r="CF68" s="35"/>
      <c r="CG68" s="35"/>
      <c r="CH68" s="35"/>
      <c r="CI68" s="35"/>
      <c r="CJ68" s="35"/>
      <c r="CK68" s="35"/>
      <c r="CL68" s="35"/>
      <c r="CM68" s="35"/>
      <c r="CN68" s="35"/>
      <c r="CO68" s="35"/>
      <c r="CP68" s="35"/>
      <c r="CQ68" s="35"/>
      <c r="CR68" s="35"/>
      <c r="CS68" s="35"/>
      <c r="CT68" s="35"/>
      <c r="CU68" s="35"/>
      <c r="CV68" s="35"/>
      <c r="CW68" s="35"/>
      <c r="CX68" s="35"/>
      <c r="CY68" s="35"/>
      <c r="CZ68" s="35"/>
      <c r="DA68" s="35"/>
      <c r="DB68" s="35"/>
      <c r="DC68" s="35"/>
      <c r="DD68" s="35"/>
      <c r="DE68" s="35"/>
      <c r="DF68" s="35"/>
      <c r="DG68" s="35"/>
      <c r="DH68" s="35"/>
      <c r="DI68" s="35"/>
      <c r="DJ68" s="35"/>
      <c r="DK68" s="35"/>
      <c r="DL68" s="35"/>
      <c r="DM68" s="35"/>
      <c r="DN68" s="35"/>
      <c r="DO68" t="str">
        <f t="shared" si="4"/>
        <v/>
      </c>
    </row>
    <row r="69" spans="5:119" ht="18.95" customHeight="1" x14ac:dyDescent="0.25">
      <c r="E69" s="20"/>
      <c r="F69" s="20"/>
      <c r="G69" s="20"/>
      <c r="H69" s="20"/>
      <c r="K69" s="21"/>
      <c r="L69" t="str">
        <f t="shared" ca="1" si="7"/>
        <v/>
      </c>
      <c r="O69" s="31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5"/>
      <c r="BM69" s="35"/>
      <c r="BN69" s="35"/>
      <c r="BO69" s="35"/>
      <c r="BP69" s="35"/>
      <c r="BQ69" s="35"/>
      <c r="BR69" s="35"/>
      <c r="BS69" s="35"/>
      <c r="BT69" s="35"/>
      <c r="BU69" s="35"/>
      <c r="BV69" s="35"/>
      <c r="BW69" s="35"/>
      <c r="BX69" s="35"/>
      <c r="BY69" s="35"/>
      <c r="BZ69" s="35"/>
      <c r="CA69" s="35"/>
      <c r="CB69" s="35"/>
      <c r="CC69" s="35"/>
      <c r="CD69" s="35"/>
      <c r="CE69" s="35"/>
      <c r="CF69" s="35"/>
      <c r="CG69" s="35"/>
      <c r="CH69" s="35"/>
      <c r="CI69" s="35"/>
      <c r="CJ69" s="35"/>
      <c r="CK69" s="35"/>
      <c r="CL69" s="35"/>
      <c r="CM69" s="35"/>
      <c r="CN69" s="35"/>
      <c r="CO69" s="35"/>
      <c r="CP69" s="35"/>
      <c r="CQ69" s="35"/>
      <c r="CR69" s="35"/>
      <c r="CS69" s="35"/>
      <c r="CT69" s="35"/>
      <c r="CU69" s="35"/>
      <c r="CV69" s="35"/>
      <c r="CW69" s="35"/>
      <c r="CX69" s="35"/>
      <c r="CY69" s="35"/>
      <c r="CZ69" s="35"/>
      <c r="DA69" s="35"/>
      <c r="DB69" s="35"/>
      <c r="DC69" s="35"/>
      <c r="DD69" s="35"/>
      <c r="DE69" s="35"/>
      <c r="DF69" s="35"/>
      <c r="DG69" s="35"/>
      <c r="DH69" s="35"/>
      <c r="DI69" s="35"/>
      <c r="DJ69" s="35"/>
      <c r="DK69" s="35"/>
      <c r="DL69" s="35"/>
      <c r="DM69" s="35"/>
      <c r="DN69" s="35"/>
      <c r="DO69" t="str">
        <f t="shared" si="4"/>
        <v/>
      </c>
    </row>
    <row r="70" spans="5:119" ht="18.95" customHeight="1" x14ac:dyDescent="0.25">
      <c r="E70" s="20"/>
      <c r="F70" s="20"/>
      <c r="G70" s="20"/>
      <c r="H70" s="20"/>
      <c r="K70" s="21"/>
      <c r="L70" t="str">
        <f t="shared" ca="1" si="7"/>
        <v/>
      </c>
      <c r="O70" s="23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  <c r="DA70" s="35"/>
      <c r="DB70" s="35"/>
      <c r="DC70" s="35"/>
      <c r="DD70" s="35"/>
      <c r="DE70" s="35"/>
      <c r="DF70" s="35"/>
      <c r="DG70" s="35"/>
      <c r="DH70" s="35"/>
      <c r="DI70" s="35"/>
      <c r="DJ70" s="35"/>
      <c r="DK70" s="35"/>
      <c r="DL70" s="35"/>
      <c r="DM70" s="35"/>
      <c r="DN70" s="35"/>
      <c r="DO70" t="str">
        <f t="shared" si="4"/>
        <v/>
      </c>
    </row>
    <row r="71" spans="5:119" ht="18.95" customHeight="1" x14ac:dyDescent="0.25">
      <c r="E71" s="20"/>
      <c r="F71" s="20"/>
      <c r="G71" s="20"/>
      <c r="H71" s="20"/>
      <c r="K71" s="21"/>
      <c r="L71" t="str">
        <f t="shared" ca="1" si="7"/>
        <v/>
      </c>
      <c r="O71" s="31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/>
      <c r="BX71" s="35"/>
      <c r="BY71" s="35"/>
      <c r="BZ71" s="35"/>
      <c r="CA71" s="35"/>
      <c r="CB71" s="35"/>
      <c r="CC71" s="35"/>
      <c r="CD71" s="35"/>
      <c r="CE71" s="35"/>
      <c r="CF71" s="35"/>
      <c r="CG71" s="35"/>
      <c r="CH71" s="35"/>
      <c r="CI71" s="35"/>
      <c r="CJ71" s="35"/>
      <c r="CK71" s="35"/>
      <c r="CL71" s="35"/>
      <c r="CM71" s="35"/>
      <c r="CN71" s="35"/>
      <c r="CO71" s="35"/>
      <c r="CP71" s="35"/>
      <c r="CQ71" s="35"/>
      <c r="CR71" s="35"/>
      <c r="CS71" s="35"/>
      <c r="CT71" s="35"/>
      <c r="CU71" s="35"/>
      <c r="CV71" s="35"/>
      <c r="CW71" s="35"/>
      <c r="CX71" s="35"/>
      <c r="CY71" s="35"/>
      <c r="CZ71" s="35"/>
      <c r="DA71" s="35"/>
      <c r="DB71" s="35"/>
      <c r="DC71" s="35"/>
      <c r="DD71" s="35"/>
      <c r="DE71" s="35"/>
      <c r="DF71" s="35"/>
      <c r="DG71" s="35"/>
      <c r="DH71" s="35"/>
      <c r="DI71" s="35"/>
      <c r="DJ71" s="35"/>
      <c r="DK71" s="35"/>
      <c r="DL71" s="35"/>
      <c r="DM71" s="35"/>
      <c r="DN71" s="35"/>
      <c r="DO71" t="str">
        <f t="shared" si="4"/>
        <v/>
      </c>
    </row>
    <row r="72" spans="5:119" ht="18.95" customHeight="1" x14ac:dyDescent="0.25">
      <c r="E72" s="20"/>
      <c r="F72" s="20"/>
      <c r="G72" s="20"/>
      <c r="H72" s="20"/>
      <c r="K72" s="21"/>
      <c r="L72" t="str">
        <f t="shared" ca="1" si="7"/>
        <v/>
      </c>
      <c r="O72" s="23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5"/>
      <c r="BY72" s="35"/>
      <c r="BZ72" s="35"/>
      <c r="CA72" s="35"/>
      <c r="CB72" s="35"/>
      <c r="CC72" s="35"/>
      <c r="CD72" s="35"/>
      <c r="CE72" s="35"/>
      <c r="CF72" s="35"/>
      <c r="CG72" s="35"/>
      <c r="CH72" s="35"/>
      <c r="CI72" s="35"/>
      <c r="CJ72" s="35"/>
      <c r="CK72" s="35"/>
      <c r="CL72" s="35"/>
      <c r="CM72" s="35"/>
      <c r="CN72" s="35"/>
      <c r="CO72" s="35"/>
      <c r="CP72" s="35"/>
      <c r="CQ72" s="35"/>
      <c r="CR72" s="35"/>
      <c r="CS72" s="35"/>
      <c r="CT72" s="35"/>
      <c r="CU72" s="35"/>
      <c r="CV72" s="35"/>
      <c r="CW72" s="35"/>
      <c r="CX72" s="35"/>
      <c r="CY72" s="35"/>
      <c r="CZ72" s="35"/>
      <c r="DA72" s="35"/>
      <c r="DB72" s="35"/>
      <c r="DC72" s="35"/>
      <c r="DD72" s="35"/>
      <c r="DE72" s="35"/>
      <c r="DF72" s="35"/>
      <c r="DG72" s="35"/>
      <c r="DH72" s="35"/>
      <c r="DI72" s="35"/>
      <c r="DJ72" s="35"/>
      <c r="DK72" s="35"/>
      <c r="DL72" s="35"/>
      <c r="DM72" s="35"/>
      <c r="DN72" s="35"/>
      <c r="DO72" t="str">
        <f t="shared" si="4"/>
        <v/>
      </c>
    </row>
    <row r="73" spans="5:119" ht="18.95" customHeight="1" x14ac:dyDescent="0.25">
      <c r="E73" s="20"/>
      <c r="F73" s="20"/>
      <c r="G73" s="20"/>
      <c r="H73" s="20"/>
      <c r="K73" s="21"/>
      <c r="L73" t="str">
        <f t="shared" ca="1" si="7"/>
        <v/>
      </c>
      <c r="O73" s="31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35"/>
      <c r="BY73" s="35"/>
      <c r="BZ73" s="35"/>
      <c r="CA73" s="35"/>
      <c r="CB73" s="35"/>
      <c r="CC73" s="35"/>
      <c r="CD73" s="35"/>
      <c r="CE73" s="35"/>
      <c r="CF73" s="35"/>
      <c r="CG73" s="35"/>
      <c r="CH73" s="35"/>
      <c r="CI73" s="35"/>
      <c r="CJ73" s="35"/>
      <c r="CK73" s="35"/>
      <c r="CL73" s="35"/>
      <c r="CM73" s="35"/>
      <c r="CN73" s="35"/>
      <c r="CO73" s="35"/>
      <c r="CP73" s="35"/>
      <c r="CQ73" s="35"/>
      <c r="CR73" s="35"/>
      <c r="CS73" s="35"/>
      <c r="CT73" s="35"/>
      <c r="CU73" s="35"/>
      <c r="CV73" s="35"/>
      <c r="CW73" s="35"/>
      <c r="CX73" s="35"/>
      <c r="CY73" s="35"/>
      <c r="CZ73" s="35"/>
      <c r="DA73" s="35"/>
      <c r="DB73" s="35"/>
      <c r="DC73" s="35"/>
      <c r="DD73" s="35"/>
      <c r="DE73" s="35"/>
      <c r="DF73" s="35"/>
      <c r="DG73" s="35"/>
      <c r="DH73" s="35"/>
      <c r="DI73" s="35"/>
      <c r="DJ73" s="35"/>
      <c r="DK73" s="35"/>
      <c r="DL73" s="35"/>
      <c r="DM73" s="35"/>
      <c r="DN73" s="35"/>
      <c r="DO73" t="str">
        <f t="shared" si="4"/>
        <v/>
      </c>
    </row>
    <row r="74" spans="5:119" ht="18.95" customHeight="1" x14ac:dyDescent="0.25">
      <c r="E74" s="20"/>
      <c r="F74" s="20"/>
      <c r="G74" s="20"/>
      <c r="H74" s="20"/>
      <c r="K74" s="21"/>
      <c r="L74" t="str">
        <f t="shared" ca="1" si="7"/>
        <v/>
      </c>
      <c r="O74" s="23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5"/>
      <c r="BM74" s="35"/>
      <c r="BN74" s="35"/>
      <c r="BO74" s="35"/>
      <c r="BP74" s="35"/>
      <c r="BQ74" s="35"/>
      <c r="BR74" s="35"/>
      <c r="BS74" s="35"/>
      <c r="BT74" s="35"/>
      <c r="BU74" s="35"/>
      <c r="BV74" s="35"/>
      <c r="BW74" s="35"/>
      <c r="BX74" s="35"/>
      <c r="BY74" s="35"/>
      <c r="BZ74" s="35"/>
      <c r="CA74" s="35"/>
      <c r="CB74" s="35"/>
      <c r="CC74" s="35"/>
      <c r="CD74" s="35"/>
      <c r="CE74" s="35"/>
      <c r="CF74" s="35"/>
      <c r="CG74" s="35"/>
      <c r="CH74" s="35"/>
      <c r="CI74" s="35"/>
      <c r="CJ74" s="35"/>
      <c r="CK74" s="35"/>
      <c r="CL74" s="35"/>
      <c r="CM74" s="35"/>
      <c r="CN74" s="35"/>
      <c r="CO74" s="35"/>
      <c r="CP74" s="35"/>
      <c r="CQ74" s="35"/>
      <c r="CR74" s="35"/>
      <c r="CS74" s="35"/>
      <c r="CT74" s="35"/>
      <c r="CU74" s="35"/>
      <c r="CV74" s="35"/>
      <c r="CW74" s="35"/>
      <c r="CX74" s="35"/>
      <c r="CY74" s="35"/>
      <c r="CZ74" s="35"/>
      <c r="DA74" s="35"/>
      <c r="DB74" s="35"/>
      <c r="DC74" s="35"/>
      <c r="DD74" s="35"/>
      <c r="DE74" s="35"/>
      <c r="DF74" s="35"/>
      <c r="DG74" s="35"/>
      <c r="DH74" s="35"/>
      <c r="DI74" s="35"/>
      <c r="DJ74" s="35"/>
      <c r="DK74" s="35"/>
      <c r="DL74" s="35"/>
      <c r="DM74" s="35"/>
      <c r="DN74" s="35"/>
      <c r="DO74" t="str">
        <f t="shared" si="4"/>
        <v/>
      </c>
    </row>
    <row r="75" spans="5:119" ht="18.95" customHeight="1" x14ac:dyDescent="0.25">
      <c r="E75" s="20"/>
      <c r="F75" s="20"/>
      <c r="G75" s="20"/>
      <c r="H75" s="20"/>
      <c r="K75" s="21"/>
      <c r="L75" t="str">
        <f t="shared" ca="1" si="7"/>
        <v/>
      </c>
      <c r="O75" s="31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5"/>
      <c r="CP75" s="35"/>
      <c r="CQ75" s="35"/>
      <c r="CR75" s="35"/>
      <c r="CS75" s="35"/>
      <c r="CT75" s="35"/>
      <c r="CU75" s="35"/>
      <c r="CV75" s="35"/>
      <c r="CW75" s="35"/>
      <c r="CX75" s="35"/>
      <c r="CY75" s="35"/>
      <c r="CZ75" s="35"/>
      <c r="DA75" s="35"/>
      <c r="DB75" s="35"/>
      <c r="DC75" s="35"/>
      <c r="DD75" s="35"/>
      <c r="DE75" s="35"/>
      <c r="DF75" s="35"/>
      <c r="DG75" s="35"/>
      <c r="DH75" s="35"/>
      <c r="DI75" s="35"/>
      <c r="DJ75" s="35"/>
      <c r="DK75" s="35"/>
      <c r="DL75" s="35"/>
      <c r="DM75" s="35"/>
      <c r="DN75" s="35"/>
      <c r="DO75" t="str">
        <f t="shared" si="4"/>
        <v/>
      </c>
    </row>
    <row r="76" spans="5:119" ht="18.95" customHeight="1" x14ac:dyDescent="0.25">
      <c r="E76" s="20"/>
      <c r="F76" s="20"/>
      <c r="G76" s="20"/>
      <c r="H76" s="20"/>
      <c r="K76" s="21"/>
      <c r="L76" t="str">
        <f t="shared" ca="1" si="7"/>
        <v/>
      </c>
      <c r="O76" s="23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5"/>
      <c r="BM76" s="35"/>
      <c r="BN76" s="35"/>
      <c r="BO76" s="35"/>
      <c r="BP76" s="35"/>
      <c r="BQ76" s="35"/>
      <c r="BR76" s="35"/>
      <c r="BS76" s="35"/>
      <c r="BT76" s="35"/>
      <c r="BU76" s="35"/>
      <c r="BV76" s="35"/>
      <c r="BW76" s="35"/>
      <c r="BX76" s="35"/>
      <c r="BY76" s="35"/>
      <c r="BZ76" s="35"/>
      <c r="CA76" s="35"/>
      <c r="CB76" s="35"/>
      <c r="CC76" s="35"/>
      <c r="CD76" s="35"/>
      <c r="CE76" s="35"/>
      <c r="CF76" s="35"/>
      <c r="CG76" s="35"/>
      <c r="CH76" s="35"/>
      <c r="CI76" s="35"/>
      <c r="CJ76" s="35"/>
      <c r="CK76" s="35"/>
      <c r="CL76" s="35"/>
      <c r="CM76" s="35"/>
      <c r="CN76" s="35"/>
      <c r="CO76" s="35"/>
      <c r="CP76" s="35"/>
      <c r="CQ76" s="35"/>
      <c r="CR76" s="35"/>
      <c r="CS76" s="35"/>
      <c r="CT76" s="35"/>
      <c r="CU76" s="35"/>
      <c r="CV76" s="35"/>
      <c r="CW76" s="35"/>
      <c r="CX76" s="35"/>
      <c r="CY76" s="35"/>
      <c r="CZ76" s="35"/>
      <c r="DA76" s="35"/>
      <c r="DB76" s="35"/>
      <c r="DC76" s="35"/>
      <c r="DD76" s="35"/>
      <c r="DE76" s="35"/>
      <c r="DF76" s="35"/>
      <c r="DG76" s="35"/>
      <c r="DH76" s="35"/>
      <c r="DI76" s="35"/>
      <c r="DJ76" s="35"/>
      <c r="DK76" s="35"/>
      <c r="DL76" s="35"/>
      <c r="DM76" s="35"/>
      <c r="DN76" s="35"/>
      <c r="DO76" t="str">
        <f t="shared" si="4"/>
        <v/>
      </c>
    </row>
    <row r="77" spans="5:119" ht="18.95" customHeight="1" x14ac:dyDescent="0.25">
      <c r="E77" s="20"/>
      <c r="F77" s="20"/>
      <c r="G77" s="20"/>
      <c r="H77" s="20"/>
      <c r="K77" s="21"/>
      <c r="L77" t="str">
        <f t="shared" ca="1" si="7"/>
        <v/>
      </c>
      <c r="O77" s="31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5"/>
      <c r="BM77" s="35"/>
      <c r="BN77" s="35"/>
      <c r="BO77" s="35"/>
      <c r="BP77" s="35"/>
      <c r="BQ77" s="35"/>
      <c r="BR77" s="35"/>
      <c r="BS77" s="35"/>
      <c r="BT77" s="35"/>
      <c r="BU77" s="35"/>
      <c r="BV77" s="35"/>
      <c r="BW77" s="35"/>
      <c r="BX77" s="35"/>
      <c r="BY77" s="35"/>
      <c r="BZ77" s="35"/>
      <c r="CA77" s="35"/>
      <c r="CB77" s="35"/>
      <c r="CC77" s="35"/>
      <c r="CD77" s="35"/>
      <c r="CE77" s="35"/>
      <c r="CF77" s="35"/>
      <c r="CG77" s="35"/>
      <c r="CH77" s="35"/>
      <c r="CI77" s="35"/>
      <c r="CJ77" s="35"/>
      <c r="CK77" s="35"/>
      <c r="CL77" s="35"/>
      <c r="CM77" s="35"/>
      <c r="CN77" s="35"/>
      <c r="CO77" s="35"/>
      <c r="CP77" s="35"/>
      <c r="CQ77" s="35"/>
      <c r="CR77" s="35"/>
      <c r="CS77" s="35"/>
      <c r="CT77" s="35"/>
      <c r="CU77" s="35"/>
      <c r="CV77" s="35"/>
      <c r="CW77" s="35"/>
      <c r="CX77" s="35"/>
      <c r="CY77" s="35"/>
      <c r="CZ77" s="35"/>
      <c r="DA77" s="35"/>
      <c r="DB77" s="35"/>
      <c r="DC77" s="35"/>
      <c r="DD77" s="35"/>
      <c r="DE77" s="35"/>
      <c r="DF77" s="35"/>
      <c r="DG77" s="35"/>
      <c r="DH77" s="35"/>
      <c r="DI77" s="35"/>
      <c r="DJ77" s="35"/>
      <c r="DK77" s="35"/>
      <c r="DL77" s="35"/>
      <c r="DM77" s="35"/>
      <c r="DN77" s="35"/>
      <c r="DO77" t="str">
        <f t="shared" si="4"/>
        <v/>
      </c>
    </row>
    <row r="78" spans="5:119" ht="18.95" customHeight="1" x14ac:dyDescent="0.25">
      <c r="E78" s="20"/>
      <c r="F78" s="20"/>
      <c r="G78" s="20"/>
      <c r="H78" s="20"/>
      <c r="K78" s="21"/>
      <c r="L78" t="str">
        <f t="shared" ca="1" si="7"/>
        <v/>
      </c>
      <c r="O78" s="23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5"/>
      <c r="BM78" s="35"/>
      <c r="BN78" s="35"/>
      <c r="BO78" s="35"/>
      <c r="BP78" s="35"/>
      <c r="BQ78" s="35"/>
      <c r="BR78" s="35"/>
      <c r="BS78" s="35"/>
      <c r="BT78" s="35"/>
      <c r="BU78" s="35"/>
      <c r="BV78" s="35"/>
      <c r="BW78" s="35"/>
      <c r="BX78" s="35"/>
      <c r="BY78" s="35"/>
      <c r="BZ78" s="35"/>
      <c r="CA78" s="35"/>
      <c r="CB78" s="35"/>
      <c r="CC78" s="35"/>
      <c r="CD78" s="35"/>
      <c r="CE78" s="35"/>
      <c r="CF78" s="35"/>
      <c r="CG78" s="35"/>
      <c r="CH78" s="35"/>
      <c r="CI78" s="35"/>
      <c r="CJ78" s="35"/>
      <c r="CK78" s="35"/>
      <c r="CL78" s="35"/>
      <c r="CM78" s="35"/>
      <c r="CN78" s="35"/>
      <c r="CO78" s="35"/>
      <c r="CP78" s="35"/>
      <c r="CQ78" s="35"/>
      <c r="CR78" s="35"/>
      <c r="CS78" s="35"/>
      <c r="CT78" s="35"/>
      <c r="CU78" s="35"/>
      <c r="CV78" s="35"/>
      <c r="CW78" s="35"/>
      <c r="CX78" s="35"/>
      <c r="CY78" s="35"/>
      <c r="CZ78" s="35"/>
      <c r="DA78" s="35"/>
      <c r="DB78" s="35"/>
      <c r="DC78" s="35"/>
      <c r="DD78" s="35"/>
      <c r="DE78" s="35"/>
      <c r="DF78" s="35"/>
      <c r="DG78" s="35"/>
      <c r="DH78" s="35"/>
      <c r="DI78" s="35"/>
      <c r="DJ78" s="35"/>
      <c r="DK78" s="35"/>
      <c r="DL78" s="35"/>
      <c r="DM78" s="35"/>
      <c r="DN78" s="35"/>
      <c r="DO78" t="str">
        <f t="shared" si="4"/>
        <v/>
      </c>
    </row>
    <row r="79" spans="5:119" ht="18.95" customHeight="1" x14ac:dyDescent="0.25">
      <c r="E79" s="20"/>
      <c r="F79" s="20"/>
      <c r="G79" s="20"/>
      <c r="H79" s="20"/>
      <c r="K79" s="21"/>
      <c r="L79" t="str">
        <f t="shared" ca="1" si="7"/>
        <v/>
      </c>
      <c r="O79" s="31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5"/>
      <c r="BM79" s="35"/>
      <c r="BN79" s="35"/>
      <c r="BO79" s="35"/>
      <c r="BP79" s="35"/>
      <c r="BQ79" s="35"/>
      <c r="BR79" s="35"/>
      <c r="BS79" s="35"/>
      <c r="BT79" s="35"/>
      <c r="BU79" s="35"/>
      <c r="BV79" s="35"/>
      <c r="BW79" s="35"/>
      <c r="BX79" s="35"/>
      <c r="BY79" s="35"/>
      <c r="BZ79" s="35"/>
      <c r="CA79" s="35"/>
      <c r="CB79" s="35"/>
      <c r="CC79" s="35"/>
      <c r="CD79" s="35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5"/>
      <c r="CP79" s="35"/>
      <c r="CQ79" s="35"/>
      <c r="CR79" s="35"/>
      <c r="CS79" s="35"/>
      <c r="CT79" s="35"/>
      <c r="CU79" s="35"/>
      <c r="CV79" s="35"/>
      <c r="CW79" s="35"/>
      <c r="CX79" s="35"/>
      <c r="CY79" s="35"/>
      <c r="CZ79" s="35"/>
      <c r="DA79" s="35"/>
      <c r="DB79" s="35"/>
      <c r="DC79" s="35"/>
      <c r="DD79" s="35"/>
      <c r="DE79" s="35"/>
      <c r="DF79" s="35"/>
      <c r="DG79" s="35"/>
      <c r="DH79" s="35"/>
      <c r="DI79" s="35"/>
      <c r="DJ79" s="35"/>
      <c r="DK79" s="35"/>
      <c r="DL79" s="35"/>
      <c r="DM79" s="35"/>
      <c r="DN79" s="35"/>
      <c r="DO79" t="str">
        <f t="shared" ref="DO79:DO96" si="8">IF(C79="","",IF(L79="Complete",1,0))</f>
        <v/>
      </c>
    </row>
    <row r="80" spans="5:119" ht="18.95" customHeight="1" x14ac:dyDescent="0.25">
      <c r="E80" s="20"/>
      <c r="F80" s="20"/>
      <c r="G80" s="20"/>
      <c r="H80" s="20"/>
      <c r="K80" s="21"/>
      <c r="L80" t="str">
        <f t="shared" ca="1" si="7"/>
        <v/>
      </c>
      <c r="O80" s="23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5"/>
      <c r="BM80" s="35"/>
      <c r="BN80" s="35"/>
      <c r="BO80" s="35"/>
      <c r="BP80" s="35"/>
      <c r="BQ80" s="35"/>
      <c r="BR80" s="35"/>
      <c r="BS80" s="35"/>
      <c r="BT80" s="35"/>
      <c r="BU80" s="35"/>
      <c r="BV80" s="35"/>
      <c r="BW80" s="35"/>
      <c r="BX80" s="35"/>
      <c r="BY80" s="35"/>
      <c r="BZ80" s="35"/>
      <c r="CA80" s="35"/>
      <c r="CB80" s="35"/>
      <c r="CC80" s="35"/>
      <c r="CD80" s="35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5"/>
      <c r="CP80" s="35"/>
      <c r="CQ80" s="35"/>
      <c r="CR80" s="35"/>
      <c r="CS80" s="35"/>
      <c r="CT80" s="35"/>
      <c r="CU80" s="35"/>
      <c r="CV80" s="35"/>
      <c r="CW80" s="35"/>
      <c r="CX80" s="35"/>
      <c r="CY80" s="35"/>
      <c r="CZ80" s="35"/>
      <c r="DA80" s="35"/>
      <c r="DB80" s="35"/>
      <c r="DC80" s="35"/>
      <c r="DD80" s="35"/>
      <c r="DE80" s="35"/>
      <c r="DF80" s="35"/>
      <c r="DG80" s="35"/>
      <c r="DH80" s="35"/>
      <c r="DI80" s="35"/>
      <c r="DJ80" s="35"/>
      <c r="DK80" s="35"/>
      <c r="DL80" s="35"/>
      <c r="DM80" s="35"/>
      <c r="DN80" s="35"/>
      <c r="DO80" t="str">
        <f t="shared" si="8"/>
        <v/>
      </c>
    </row>
    <row r="81" spans="5:119" ht="18.95" customHeight="1" x14ac:dyDescent="0.25">
      <c r="E81" s="20"/>
      <c r="F81" s="20"/>
      <c r="G81" s="20"/>
      <c r="H81" s="20"/>
      <c r="K81" s="21"/>
      <c r="L81" t="str">
        <f t="shared" ca="1" si="7"/>
        <v/>
      </c>
      <c r="O81" s="31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5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5"/>
      <c r="CP81" s="35"/>
      <c r="CQ81" s="35"/>
      <c r="CR81" s="35"/>
      <c r="CS81" s="35"/>
      <c r="CT81" s="35"/>
      <c r="CU81" s="35"/>
      <c r="CV81" s="35"/>
      <c r="CW81" s="35"/>
      <c r="CX81" s="35"/>
      <c r="CY81" s="35"/>
      <c r="CZ81" s="35"/>
      <c r="DA81" s="35"/>
      <c r="DB81" s="35"/>
      <c r="DC81" s="35"/>
      <c r="DD81" s="35"/>
      <c r="DE81" s="35"/>
      <c r="DF81" s="35"/>
      <c r="DG81" s="35"/>
      <c r="DH81" s="35"/>
      <c r="DI81" s="35"/>
      <c r="DJ81" s="35"/>
      <c r="DK81" s="35"/>
      <c r="DL81" s="35"/>
      <c r="DM81" s="35"/>
      <c r="DN81" s="35"/>
      <c r="DO81" t="str">
        <f t="shared" si="8"/>
        <v/>
      </c>
    </row>
    <row r="82" spans="5:119" ht="18.95" customHeight="1" x14ac:dyDescent="0.25">
      <c r="E82" s="20"/>
      <c r="F82" s="20"/>
      <c r="G82" s="20"/>
      <c r="H82" s="20"/>
      <c r="K82" s="21"/>
      <c r="L82" t="str">
        <f t="shared" ca="1" si="7"/>
        <v/>
      </c>
      <c r="O82" s="23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5"/>
      <c r="BZ82" s="35"/>
      <c r="CA82" s="35"/>
      <c r="CB82" s="35"/>
      <c r="CC82" s="35"/>
      <c r="CD82" s="35"/>
      <c r="CE82" s="35"/>
      <c r="CF82" s="35"/>
      <c r="CG82" s="35"/>
      <c r="CH82" s="35"/>
      <c r="CI82" s="35"/>
      <c r="CJ82" s="35"/>
      <c r="CK82" s="35"/>
      <c r="CL82" s="35"/>
      <c r="CM82" s="35"/>
      <c r="CN82" s="35"/>
      <c r="CO82" s="35"/>
      <c r="CP82" s="35"/>
      <c r="CQ82" s="35"/>
      <c r="CR82" s="35"/>
      <c r="CS82" s="35"/>
      <c r="CT82" s="35"/>
      <c r="CU82" s="35"/>
      <c r="CV82" s="35"/>
      <c r="CW82" s="35"/>
      <c r="CX82" s="35"/>
      <c r="CY82" s="35"/>
      <c r="CZ82" s="35"/>
      <c r="DA82" s="35"/>
      <c r="DB82" s="35"/>
      <c r="DC82" s="35"/>
      <c r="DD82" s="35"/>
      <c r="DE82" s="35"/>
      <c r="DF82" s="35"/>
      <c r="DG82" s="35"/>
      <c r="DH82" s="35"/>
      <c r="DI82" s="35"/>
      <c r="DJ82" s="35"/>
      <c r="DK82" s="35"/>
      <c r="DL82" s="35"/>
      <c r="DM82" s="35"/>
      <c r="DN82" s="35"/>
      <c r="DO82" t="str">
        <f t="shared" si="8"/>
        <v/>
      </c>
    </row>
    <row r="83" spans="5:119" ht="18.95" customHeight="1" x14ac:dyDescent="0.25">
      <c r="E83" s="20"/>
      <c r="F83" s="20"/>
      <c r="G83" s="20"/>
      <c r="H83" s="20"/>
      <c r="K83" s="21"/>
      <c r="L83" t="str">
        <f t="shared" ca="1" si="7"/>
        <v/>
      </c>
      <c r="O83" s="31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5"/>
      <c r="BM83" s="35"/>
      <c r="BN83" s="35"/>
      <c r="BO83" s="35"/>
      <c r="BP83" s="35"/>
      <c r="BQ83" s="35"/>
      <c r="BR83" s="35"/>
      <c r="BS83" s="35"/>
      <c r="BT83" s="35"/>
      <c r="BU83" s="35"/>
      <c r="BV83" s="35"/>
      <c r="BW83" s="35"/>
      <c r="BX83" s="35"/>
      <c r="BY83" s="35"/>
      <c r="BZ83" s="35"/>
      <c r="CA83" s="35"/>
      <c r="CB83" s="35"/>
      <c r="CC83" s="35"/>
      <c r="CD83" s="35"/>
      <c r="CE83" s="35"/>
      <c r="CF83" s="35"/>
      <c r="CG83" s="35"/>
      <c r="CH83" s="35"/>
      <c r="CI83" s="35"/>
      <c r="CJ83" s="35"/>
      <c r="CK83" s="35"/>
      <c r="CL83" s="35"/>
      <c r="CM83" s="35"/>
      <c r="CN83" s="35"/>
      <c r="CO83" s="35"/>
      <c r="CP83" s="35"/>
      <c r="CQ83" s="35"/>
      <c r="CR83" s="35"/>
      <c r="CS83" s="35"/>
      <c r="CT83" s="35"/>
      <c r="CU83" s="35"/>
      <c r="CV83" s="35"/>
      <c r="CW83" s="35"/>
      <c r="CX83" s="35"/>
      <c r="CY83" s="35"/>
      <c r="CZ83" s="35"/>
      <c r="DA83" s="35"/>
      <c r="DB83" s="35"/>
      <c r="DC83" s="35"/>
      <c r="DD83" s="35"/>
      <c r="DE83" s="35"/>
      <c r="DF83" s="35"/>
      <c r="DG83" s="35"/>
      <c r="DH83" s="35"/>
      <c r="DI83" s="35"/>
      <c r="DJ83" s="35"/>
      <c r="DK83" s="35"/>
      <c r="DL83" s="35"/>
      <c r="DM83" s="35"/>
      <c r="DN83" s="35"/>
      <c r="DO83" t="str">
        <f t="shared" si="8"/>
        <v/>
      </c>
    </row>
    <row r="84" spans="5:119" ht="18.95" customHeight="1" x14ac:dyDescent="0.25">
      <c r="E84" s="20"/>
      <c r="F84" s="20"/>
      <c r="G84" s="20"/>
      <c r="H84" s="20"/>
      <c r="K84" s="21"/>
      <c r="L84" t="str">
        <f t="shared" ca="1" si="7"/>
        <v/>
      </c>
      <c r="O84" s="23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  <c r="BU84" s="35"/>
      <c r="BV84" s="35"/>
      <c r="BW84" s="35"/>
      <c r="BX84" s="35"/>
      <c r="BY84" s="35"/>
      <c r="BZ84" s="35"/>
      <c r="CA84" s="35"/>
      <c r="CB84" s="35"/>
      <c r="CC84" s="35"/>
      <c r="CD84" s="35"/>
      <c r="CE84" s="35"/>
      <c r="CF84" s="35"/>
      <c r="CG84" s="35"/>
      <c r="CH84" s="35"/>
      <c r="CI84" s="35"/>
      <c r="CJ84" s="35"/>
      <c r="CK84" s="35"/>
      <c r="CL84" s="35"/>
      <c r="CM84" s="35"/>
      <c r="CN84" s="35"/>
      <c r="CO84" s="35"/>
      <c r="CP84" s="35"/>
      <c r="CQ84" s="35"/>
      <c r="CR84" s="35"/>
      <c r="CS84" s="35"/>
      <c r="CT84" s="35"/>
      <c r="CU84" s="35"/>
      <c r="CV84" s="35"/>
      <c r="CW84" s="35"/>
      <c r="CX84" s="35"/>
      <c r="CY84" s="35"/>
      <c r="CZ84" s="35"/>
      <c r="DA84" s="35"/>
      <c r="DB84" s="35"/>
      <c r="DC84" s="35"/>
      <c r="DD84" s="35"/>
      <c r="DE84" s="35"/>
      <c r="DF84" s="35"/>
      <c r="DG84" s="35"/>
      <c r="DH84" s="35"/>
      <c r="DI84" s="35"/>
      <c r="DJ84" s="35"/>
      <c r="DK84" s="35"/>
      <c r="DL84" s="35"/>
      <c r="DM84" s="35"/>
      <c r="DN84" s="35"/>
      <c r="DO84" t="str">
        <f t="shared" si="8"/>
        <v/>
      </c>
    </row>
    <row r="85" spans="5:119" ht="18.95" customHeight="1" x14ac:dyDescent="0.25">
      <c r="E85" s="20"/>
      <c r="F85" s="20"/>
      <c r="G85" s="20"/>
      <c r="H85" s="20"/>
      <c r="K85" s="21"/>
      <c r="L85" t="str">
        <f t="shared" ca="1" si="7"/>
        <v/>
      </c>
      <c r="O85" s="31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5"/>
      <c r="BM85" s="35"/>
      <c r="BN85" s="35"/>
      <c r="BO85" s="35"/>
      <c r="BP85" s="35"/>
      <c r="BQ85" s="35"/>
      <c r="BR85" s="35"/>
      <c r="BS85" s="35"/>
      <c r="BT85" s="35"/>
      <c r="BU85" s="35"/>
      <c r="BV85" s="35"/>
      <c r="BW85" s="35"/>
      <c r="BX85" s="35"/>
      <c r="BY85" s="35"/>
      <c r="BZ85" s="35"/>
      <c r="CA85" s="35"/>
      <c r="CB85" s="35"/>
      <c r="CC85" s="35"/>
      <c r="CD85" s="35"/>
      <c r="CE85" s="35"/>
      <c r="CF85" s="35"/>
      <c r="CG85" s="35"/>
      <c r="CH85" s="35"/>
      <c r="CI85" s="35"/>
      <c r="CJ85" s="35"/>
      <c r="CK85" s="35"/>
      <c r="CL85" s="35"/>
      <c r="CM85" s="35"/>
      <c r="CN85" s="35"/>
      <c r="CO85" s="35"/>
      <c r="CP85" s="35"/>
      <c r="CQ85" s="35"/>
      <c r="CR85" s="35"/>
      <c r="CS85" s="35"/>
      <c r="CT85" s="35"/>
      <c r="CU85" s="35"/>
      <c r="CV85" s="35"/>
      <c r="CW85" s="35"/>
      <c r="CX85" s="35"/>
      <c r="CY85" s="35"/>
      <c r="CZ85" s="35"/>
      <c r="DA85" s="35"/>
      <c r="DB85" s="35"/>
      <c r="DC85" s="35"/>
      <c r="DD85" s="35"/>
      <c r="DE85" s="35"/>
      <c r="DF85" s="35"/>
      <c r="DG85" s="35"/>
      <c r="DH85" s="35"/>
      <c r="DI85" s="35"/>
      <c r="DJ85" s="35"/>
      <c r="DK85" s="35"/>
      <c r="DL85" s="35"/>
      <c r="DM85" s="35"/>
      <c r="DN85" s="35"/>
      <c r="DO85" t="str">
        <f t="shared" si="8"/>
        <v/>
      </c>
    </row>
    <row r="86" spans="5:119" ht="18.95" customHeight="1" x14ac:dyDescent="0.25">
      <c r="E86" s="20"/>
      <c r="F86" s="20"/>
      <c r="G86" s="20"/>
      <c r="H86" s="20"/>
      <c r="K86" s="21"/>
      <c r="L86" t="str">
        <f t="shared" ca="1" si="7"/>
        <v/>
      </c>
      <c r="O86" s="23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5"/>
      <c r="BM86" s="35"/>
      <c r="BN86" s="35"/>
      <c r="BO86" s="35"/>
      <c r="BP86" s="35"/>
      <c r="BQ86" s="35"/>
      <c r="BR86" s="35"/>
      <c r="BS86" s="35"/>
      <c r="BT86" s="35"/>
      <c r="BU86" s="35"/>
      <c r="BV86" s="35"/>
      <c r="BW86" s="35"/>
      <c r="BX86" s="35"/>
      <c r="BY86" s="35"/>
      <c r="BZ86" s="35"/>
      <c r="CA86" s="35"/>
      <c r="CB86" s="35"/>
      <c r="CC86" s="35"/>
      <c r="CD86" s="35"/>
      <c r="CE86" s="35"/>
      <c r="CF86" s="35"/>
      <c r="CG86" s="35"/>
      <c r="CH86" s="35"/>
      <c r="CI86" s="35"/>
      <c r="CJ86" s="35"/>
      <c r="CK86" s="35"/>
      <c r="CL86" s="35"/>
      <c r="CM86" s="35"/>
      <c r="CN86" s="35"/>
      <c r="CO86" s="35"/>
      <c r="CP86" s="35"/>
      <c r="CQ86" s="35"/>
      <c r="CR86" s="35"/>
      <c r="CS86" s="35"/>
      <c r="CT86" s="35"/>
      <c r="CU86" s="35"/>
      <c r="CV86" s="35"/>
      <c r="CW86" s="35"/>
      <c r="CX86" s="35"/>
      <c r="CY86" s="35"/>
      <c r="CZ86" s="35"/>
      <c r="DA86" s="35"/>
      <c r="DB86" s="35"/>
      <c r="DC86" s="35"/>
      <c r="DD86" s="35"/>
      <c r="DE86" s="35"/>
      <c r="DF86" s="35"/>
      <c r="DG86" s="35"/>
      <c r="DH86" s="35"/>
      <c r="DI86" s="35"/>
      <c r="DJ86" s="35"/>
      <c r="DK86" s="35"/>
      <c r="DL86" s="35"/>
      <c r="DM86" s="35"/>
      <c r="DN86" s="35"/>
      <c r="DO86" t="str">
        <f t="shared" si="8"/>
        <v/>
      </c>
    </row>
    <row r="87" spans="5:119" ht="18.95" customHeight="1" x14ac:dyDescent="0.25">
      <c r="E87" s="20"/>
      <c r="F87" s="20"/>
      <c r="G87" s="20"/>
      <c r="H87" s="20"/>
      <c r="K87" s="21"/>
      <c r="L87" t="str">
        <f t="shared" ca="1" si="7"/>
        <v/>
      </c>
      <c r="O87" s="31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5"/>
      <c r="BM87" s="35"/>
      <c r="BN87" s="35"/>
      <c r="BO87" s="35"/>
      <c r="BP87" s="35"/>
      <c r="BQ87" s="35"/>
      <c r="BR87" s="35"/>
      <c r="BS87" s="35"/>
      <c r="BT87" s="35"/>
      <c r="BU87" s="35"/>
      <c r="BV87" s="35"/>
      <c r="BW87" s="35"/>
      <c r="BX87" s="35"/>
      <c r="BY87" s="35"/>
      <c r="BZ87" s="35"/>
      <c r="CA87" s="35"/>
      <c r="CB87" s="35"/>
      <c r="CC87" s="35"/>
      <c r="CD87" s="35"/>
      <c r="CE87" s="35"/>
      <c r="CF87" s="35"/>
      <c r="CG87" s="35"/>
      <c r="CH87" s="35"/>
      <c r="CI87" s="35"/>
      <c r="CJ87" s="35"/>
      <c r="CK87" s="35"/>
      <c r="CL87" s="35"/>
      <c r="CM87" s="35"/>
      <c r="CN87" s="35"/>
      <c r="CO87" s="35"/>
      <c r="CP87" s="35"/>
      <c r="CQ87" s="35"/>
      <c r="CR87" s="35"/>
      <c r="CS87" s="35"/>
      <c r="CT87" s="35"/>
      <c r="CU87" s="35"/>
      <c r="CV87" s="35"/>
      <c r="CW87" s="35"/>
      <c r="CX87" s="35"/>
      <c r="CY87" s="35"/>
      <c r="CZ87" s="35"/>
      <c r="DA87" s="35"/>
      <c r="DB87" s="35"/>
      <c r="DC87" s="35"/>
      <c r="DD87" s="35"/>
      <c r="DE87" s="35"/>
      <c r="DF87" s="35"/>
      <c r="DG87" s="35"/>
      <c r="DH87" s="35"/>
      <c r="DI87" s="35"/>
      <c r="DJ87" s="35"/>
      <c r="DK87" s="35"/>
      <c r="DL87" s="35"/>
      <c r="DM87" s="35"/>
      <c r="DN87" s="35"/>
      <c r="DO87" t="str">
        <f t="shared" si="8"/>
        <v/>
      </c>
    </row>
    <row r="88" spans="5:119" ht="18.95" customHeight="1" x14ac:dyDescent="0.25">
      <c r="E88" s="20"/>
      <c r="F88" s="20"/>
      <c r="G88" s="20"/>
      <c r="H88" s="20"/>
      <c r="K88" s="21"/>
      <c r="L88" t="str">
        <f t="shared" ca="1" si="7"/>
        <v/>
      </c>
      <c r="O88" s="23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  <c r="BU88" s="35"/>
      <c r="BV88" s="35"/>
      <c r="BW88" s="35"/>
      <c r="BX88" s="35"/>
      <c r="BY88" s="35"/>
      <c r="BZ88" s="35"/>
      <c r="CA88" s="35"/>
      <c r="CB88" s="35"/>
      <c r="CC88" s="35"/>
      <c r="CD88" s="35"/>
      <c r="CE88" s="35"/>
      <c r="CF88" s="35"/>
      <c r="CG88" s="35"/>
      <c r="CH88" s="35"/>
      <c r="CI88" s="35"/>
      <c r="CJ88" s="35"/>
      <c r="CK88" s="35"/>
      <c r="CL88" s="35"/>
      <c r="CM88" s="35"/>
      <c r="CN88" s="35"/>
      <c r="CO88" s="35"/>
      <c r="CP88" s="35"/>
      <c r="CQ88" s="35"/>
      <c r="CR88" s="35"/>
      <c r="CS88" s="35"/>
      <c r="CT88" s="35"/>
      <c r="CU88" s="35"/>
      <c r="CV88" s="35"/>
      <c r="CW88" s="35"/>
      <c r="CX88" s="35"/>
      <c r="CY88" s="35"/>
      <c r="CZ88" s="35"/>
      <c r="DA88" s="35"/>
      <c r="DB88" s="35"/>
      <c r="DC88" s="35"/>
      <c r="DD88" s="35"/>
      <c r="DE88" s="35"/>
      <c r="DF88" s="35"/>
      <c r="DG88" s="35"/>
      <c r="DH88" s="35"/>
      <c r="DI88" s="35"/>
      <c r="DJ88" s="35"/>
      <c r="DK88" s="35"/>
      <c r="DL88" s="35"/>
      <c r="DM88" s="35"/>
      <c r="DN88" s="35"/>
      <c r="DO88" t="str">
        <f t="shared" si="8"/>
        <v/>
      </c>
    </row>
    <row r="89" spans="5:119" ht="18.95" customHeight="1" x14ac:dyDescent="0.25">
      <c r="E89" s="20"/>
      <c r="F89" s="20"/>
      <c r="G89" s="20"/>
      <c r="H89" s="20"/>
      <c r="K89" s="21"/>
      <c r="L89" t="str">
        <f t="shared" ca="1" si="7"/>
        <v/>
      </c>
      <c r="O89" s="31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  <c r="BU89" s="35"/>
      <c r="BV89" s="35"/>
      <c r="BW89" s="35"/>
      <c r="BX89" s="35"/>
      <c r="BY89" s="35"/>
      <c r="BZ89" s="35"/>
      <c r="CA89" s="35"/>
      <c r="CB89" s="35"/>
      <c r="CC89" s="35"/>
      <c r="CD89" s="35"/>
      <c r="CE89" s="35"/>
      <c r="CF89" s="35"/>
      <c r="CG89" s="35"/>
      <c r="CH89" s="35"/>
      <c r="CI89" s="35"/>
      <c r="CJ89" s="35"/>
      <c r="CK89" s="35"/>
      <c r="CL89" s="35"/>
      <c r="CM89" s="35"/>
      <c r="CN89" s="35"/>
      <c r="CO89" s="35"/>
      <c r="CP89" s="35"/>
      <c r="CQ89" s="35"/>
      <c r="CR89" s="35"/>
      <c r="CS89" s="35"/>
      <c r="CT89" s="35"/>
      <c r="CU89" s="35"/>
      <c r="CV89" s="35"/>
      <c r="CW89" s="35"/>
      <c r="CX89" s="35"/>
      <c r="CY89" s="35"/>
      <c r="CZ89" s="35"/>
      <c r="DA89" s="35"/>
      <c r="DB89" s="35"/>
      <c r="DC89" s="35"/>
      <c r="DD89" s="35"/>
      <c r="DE89" s="35"/>
      <c r="DF89" s="35"/>
      <c r="DG89" s="35"/>
      <c r="DH89" s="35"/>
      <c r="DI89" s="35"/>
      <c r="DJ89" s="35"/>
      <c r="DK89" s="35"/>
      <c r="DL89" s="35"/>
      <c r="DM89" s="35"/>
      <c r="DN89" s="35"/>
      <c r="DO89" t="str">
        <f t="shared" si="8"/>
        <v/>
      </c>
    </row>
    <row r="90" spans="5:119" ht="18.95" customHeight="1" x14ac:dyDescent="0.25">
      <c r="E90" s="20"/>
      <c r="F90" s="20"/>
      <c r="G90" s="20"/>
      <c r="H90" s="20"/>
      <c r="K90" s="21"/>
      <c r="L90" t="str">
        <f t="shared" ca="1" si="7"/>
        <v/>
      </c>
      <c r="O90" s="23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5"/>
      <c r="BZ90" s="35"/>
      <c r="CA90" s="35"/>
      <c r="CB90" s="35"/>
      <c r="CC90" s="35"/>
      <c r="CD90" s="35"/>
      <c r="CE90" s="35"/>
      <c r="CF90" s="35"/>
      <c r="CG90" s="35"/>
      <c r="CH90" s="35"/>
      <c r="CI90" s="35"/>
      <c r="CJ90" s="35"/>
      <c r="CK90" s="35"/>
      <c r="CL90" s="35"/>
      <c r="CM90" s="35"/>
      <c r="CN90" s="35"/>
      <c r="CO90" s="35"/>
      <c r="CP90" s="35"/>
      <c r="CQ90" s="35"/>
      <c r="CR90" s="35"/>
      <c r="CS90" s="35"/>
      <c r="CT90" s="35"/>
      <c r="CU90" s="35"/>
      <c r="CV90" s="35"/>
      <c r="CW90" s="35"/>
      <c r="CX90" s="35"/>
      <c r="CY90" s="35"/>
      <c r="CZ90" s="35"/>
      <c r="DA90" s="35"/>
      <c r="DB90" s="35"/>
      <c r="DC90" s="35"/>
      <c r="DD90" s="35"/>
      <c r="DE90" s="35"/>
      <c r="DF90" s="35"/>
      <c r="DG90" s="35"/>
      <c r="DH90" s="35"/>
      <c r="DI90" s="35"/>
      <c r="DJ90" s="35"/>
      <c r="DK90" s="35"/>
      <c r="DL90" s="35"/>
      <c r="DM90" s="35"/>
      <c r="DN90" s="35"/>
      <c r="DO90" t="str">
        <f t="shared" si="8"/>
        <v/>
      </c>
    </row>
    <row r="91" spans="5:119" ht="18.95" customHeight="1" x14ac:dyDescent="0.25">
      <c r="E91" s="20"/>
      <c r="F91" s="20"/>
      <c r="G91" s="20"/>
      <c r="H91" s="20"/>
      <c r="K91" s="21"/>
      <c r="L91" t="str">
        <f t="shared" ca="1" si="7"/>
        <v/>
      </c>
      <c r="O91" s="31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35"/>
      <c r="BT91" s="35"/>
      <c r="BU91" s="35"/>
      <c r="BV91" s="35"/>
      <c r="BW91" s="35"/>
      <c r="BX91" s="35"/>
      <c r="BY91" s="35"/>
      <c r="BZ91" s="35"/>
      <c r="CA91" s="35"/>
      <c r="CB91" s="35"/>
      <c r="CC91" s="35"/>
      <c r="CD91" s="35"/>
      <c r="CE91" s="35"/>
      <c r="CF91" s="35"/>
      <c r="CG91" s="35"/>
      <c r="CH91" s="35"/>
      <c r="CI91" s="35"/>
      <c r="CJ91" s="35"/>
      <c r="CK91" s="35"/>
      <c r="CL91" s="35"/>
      <c r="CM91" s="35"/>
      <c r="CN91" s="35"/>
      <c r="CO91" s="35"/>
      <c r="CP91" s="35"/>
      <c r="CQ91" s="35"/>
      <c r="CR91" s="35"/>
      <c r="CS91" s="35"/>
      <c r="CT91" s="35"/>
      <c r="CU91" s="35"/>
      <c r="CV91" s="35"/>
      <c r="CW91" s="35"/>
      <c r="CX91" s="35"/>
      <c r="CY91" s="35"/>
      <c r="CZ91" s="35"/>
      <c r="DA91" s="35"/>
      <c r="DB91" s="35"/>
      <c r="DC91" s="35"/>
      <c r="DD91" s="35"/>
      <c r="DE91" s="35"/>
      <c r="DF91" s="35"/>
      <c r="DG91" s="35"/>
      <c r="DH91" s="35"/>
      <c r="DI91" s="35"/>
      <c r="DJ91" s="35"/>
      <c r="DK91" s="35"/>
      <c r="DL91" s="35"/>
      <c r="DM91" s="35"/>
      <c r="DN91" s="35"/>
      <c r="DO91" t="str">
        <f t="shared" si="8"/>
        <v/>
      </c>
    </row>
    <row r="92" spans="5:119" ht="18.95" customHeight="1" x14ac:dyDescent="0.25">
      <c r="E92" s="20"/>
      <c r="F92" s="20"/>
      <c r="G92" s="20"/>
      <c r="H92" s="20"/>
      <c r="K92" s="21"/>
      <c r="L92" t="str">
        <f t="shared" ca="1" si="7"/>
        <v/>
      </c>
      <c r="O92" s="23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5"/>
      <c r="BM92" s="35"/>
      <c r="BN92" s="35"/>
      <c r="BO92" s="35"/>
      <c r="BP92" s="35"/>
      <c r="BQ92" s="35"/>
      <c r="BR92" s="35"/>
      <c r="BS92" s="35"/>
      <c r="BT92" s="35"/>
      <c r="BU92" s="35"/>
      <c r="BV92" s="35"/>
      <c r="BW92" s="35"/>
      <c r="BX92" s="35"/>
      <c r="BY92" s="35"/>
      <c r="BZ92" s="35"/>
      <c r="CA92" s="35"/>
      <c r="CB92" s="35"/>
      <c r="CC92" s="35"/>
      <c r="CD92" s="35"/>
      <c r="CE92" s="35"/>
      <c r="CF92" s="35"/>
      <c r="CG92" s="35"/>
      <c r="CH92" s="35"/>
      <c r="CI92" s="35"/>
      <c r="CJ92" s="35"/>
      <c r="CK92" s="35"/>
      <c r="CL92" s="35"/>
      <c r="CM92" s="35"/>
      <c r="CN92" s="35"/>
      <c r="CO92" s="35"/>
      <c r="CP92" s="35"/>
      <c r="CQ92" s="35"/>
      <c r="CR92" s="35"/>
      <c r="CS92" s="35"/>
      <c r="CT92" s="35"/>
      <c r="CU92" s="35"/>
      <c r="CV92" s="35"/>
      <c r="CW92" s="35"/>
      <c r="CX92" s="35"/>
      <c r="CY92" s="35"/>
      <c r="CZ92" s="35"/>
      <c r="DA92" s="35"/>
      <c r="DB92" s="35"/>
      <c r="DC92" s="35"/>
      <c r="DD92" s="35"/>
      <c r="DE92" s="35"/>
      <c r="DF92" s="35"/>
      <c r="DG92" s="35"/>
      <c r="DH92" s="35"/>
      <c r="DI92" s="35"/>
      <c r="DJ92" s="35"/>
      <c r="DK92" s="35"/>
      <c r="DL92" s="35"/>
      <c r="DM92" s="35"/>
      <c r="DN92" s="35"/>
      <c r="DO92" t="str">
        <f t="shared" si="8"/>
        <v/>
      </c>
    </row>
    <row r="93" spans="5:119" ht="18.95" customHeight="1" x14ac:dyDescent="0.25">
      <c r="E93" s="20"/>
      <c r="F93" s="20"/>
      <c r="G93" s="20"/>
      <c r="H93" s="20"/>
      <c r="K93" s="21"/>
      <c r="L93" t="str">
        <f t="shared" ca="1" si="7"/>
        <v/>
      </c>
      <c r="O93" s="31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5"/>
      <c r="BM93" s="35"/>
      <c r="BN93" s="35"/>
      <c r="BO93" s="35"/>
      <c r="BP93" s="35"/>
      <c r="BQ93" s="35"/>
      <c r="BR93" s="35"/>
      <c r="BS93" s="35"/>
      <c r="BT93" s="35"/>
      <c r="BU93" s="35"/>
      <c r="BV93" s="35"/>
      <c r="BW93" s="35"/>
      <c r="BX93" s="35"/>
      <c r="BY93" s="35"/>
      <c r="BZ93" s="35"/>
      <c r="CA93" s="35"/>
      <c r="CB93" s="35"/>
      <c r="CC93" s="35"/>
      <c r="CD93" s="35"/>
      <c r="CE93" s="35"/>
      <c r="CF93" s="35"/>
      <c r="CG93" s="35"/>
      <c r="CH93" s="35"/>
      <c r="CI93" s="35"/>
      <c r="CJ93" s="35"/>
      <c r="CK93" s="35"/>
      <c r="CL93" s="35"/>
      <c r="CM93" s="35"/>
      <c r="CN93" s="35"/>
      <c r="CO93" s="35"/>
      <c r="CP93" s="35"/>
      <c r="CQ93" s="35"/>
      <c r="CR93" s="35"/>
      <c r="CS93" s="35"/>
      <c r="CT93" s="35"/>
      <c r="CU93" s="35"/>
      <c r="CV93" s="35"/>
      <c r="CW93" s="35"/>
      <c r="CX93" s="35"/>
      <c r="CY93" s="35"/>
      <c r="CZ93" s="35"/>
      <c r="DA93" s="35"/>
      <c r="DB93" s="35"/>
      <c r="DC93" s="35"/>
      <c r="DD93" s="35"/>
      <c r="DE93" s="35"/>
      <c r="DF93" s="35"/>
      <c r="DG93" s="35"/>
      <c r="DH93" s="35"/>
      <c r="DI93" s="35"/>
      <c r="DJ93" s="35"/>
      <c r="DK93" s="35"/>
      <c r="DL93" s="35"/>
      <c r="DM93" s="35"/>
      <c r="DN93" s="35"/>
      <c r="DO93" t="str">
        <f t="shared" si="8"/>
        <v/>
      </c>
    </row>
    <row r="94" spans="5:119" ht="18.95" customHeight="1" x14ac:dyDescent="0.25">
      <c r="E94" s="20"/>
      <c r="F94" s="20"/>
      <c r="G94" s="20"/>
      <c r="H94" s="20"/>
      <c r="K94" s="21"/>
      <c r="L94" t="str">
        <f t="shared" ca="1" si="7"/>
        <v/>
      </c>
      <c r="O94" s="23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5"/>
      <c r="BC94" s="35"/>
      <c r="BD94" s="35"/>
      <c r="BE94" s="35"/>
      <c r="BF94" s="35"/>
      <c r="BG94" s="35"/>
      <c r="BH94" s="35"/>
      <c r="BI94" s="35"/>
      <c r="BJ94" s="35"/>
      <c r="BK94" s="35"/>
      <c r="BL94" s="35"/>
      <c r="BM94" s="35"/>
      <c r="BN94" s="35"/>
      <c r="BO94" s="35"/>
      <c r="BP94" s="35"/>
      <c r="BQ94" s="35"/>
      <c r="BR94" s="35"/>
      <c r="BS94" s="35"/>
      <c r="BT94" s="35"/>
      <c r="BU94" s="35"/>
      <c r="BV94" s="35"/>
      <c r="BW94" s="35"/>
      <c r="BX94" s="35"/>
      <c r="BY94" s="35"/>
      <c r="BZ94" s="35"/>
      <c r="CA94" s="35"/>
      <c r="CB94" s="35"/>
      <c r="CC94" s="35"/>
      <c r="CD94" s="35"/>
      <c r="CE94" s="35"/>
      <c r="CF94" s="35"/>
      <c r="CG94" s="35"/>
      <c r="CH94" s="35"/>
      <c r="CI94" s="35"/>
      <c r="CJ94" s="35"/>
      <c r="CK94" s="35"/>
      <c r="CL94" s="35"/>
      <c r="CM94" s="35"/>
      <c r="CN94" s="35"/>
      <c r="CO94" s="35"/>
      <c r="CP94" s="35"/>
      <c r="CQ94" s="35"/>
      <c r="CR94" s="35"/>
      <c r="CS94" s="35"/>
      <c r="CT94" s="35"/>
      <c r="CU94" s="35"/>
      <c r="CV94" s="35"/>
      <c r="CW94" s="35"/>
      <c r="CX94" s="35"/>
      <c r="CY94" s="35"/>
      <c r="CZ94" s="35"/>
      <c r="DA94" s="35"/>
      <c r="DB94" s="35"/>
      <c r="DC94" s="35"/>
      <c r="DD94" s="35"/>
      <c r="DE94" s="35"/>
      <c r="DF94" s="35"/>
      <c r="DG94" s="35"/>
      <c r="DH94" s="35"/>
      <c r="DI94" s="35"/>
      <c r="DJ94" s="35"/>
      <c r="DK94" s="35"/>
      <c r="DL94" s="35"/>
      <c r="DM94" s="35"/>
      <c r="DN94" s="35"/>
      <c r="DO94" t="str">
        <f t="shared" si="8"/>
        <v/>
      </c>
    </row>
    <row r="95" spans="5:119" ht="18.95" customHeight="1" x14ac:dyDescent="0.25">
      <c r="E95" s="20"/>
      <c r="F95" s="20"/>
      <c r="G95" s="20"/>
      <c r="H95" s="20"/>
      <c r="K95" s="21"/>
      <c r="L95" t="str">
        <f t="shared" ca="1" si="7"/>
        <v/>
      </c>
      <c r="O95" s="31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5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5"/>
      <c r="CR95" s="35"/>
      <c r="CS95" s="35"/>
      <c r="CT95" s="35"/>
      <c r="CU95" s="35"/>
      <c r="CV95" s="35"/>
      <c r="CW95" s="35"/>
      <c r="CX95" s="35"/>
      <c r="CY95" s="35"/>
      <c r="CZ95" s="35"/>
      <c r="DA95" s="35"/>
      <c r="DB95" s="35"/>
      <c r="DC95" s="35"/>
      <c r="DD95" s="35"/>
      <c r="DE95" s="35"/>
      <c r="DF95" s="35"/>
      <c r="DG95" s="35"/>
      <c r="DH95" s="35"/>
      <c r="DI95" s="35"/>
      <c r="DJ95" s="35"/>
      <c r="DK95" s="35"/>
      <c r="DL95" s="35"/>
      <c r="DM95" s="35"/>
      <c r="DN95" s="35"/>
      <c r="DO95" t="str">
        <f t="shared" si="8"/>
        <v/>
      </c>
    </row>
    <row r="96" spans="5:119" ht="18.95" customHeight="1" x14ac:dyDescent="0.25">
      <c r="E96" s="20"/>
      <c r="F96" s="20"/>
      <c r="G96" s="20"/>
      <c r="H96" s="20"/>
      <c r="K96" s="21"/>
      <c r="L96" t="str">
        <f t="shared" ca="1" si="7"/>
        <v/>
      </c>
      <c r="O96" s="23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35"/>
      <c r="BA96" s="35"/>
      <c r="BB96" s="35"/>
      <c r="BC96" s="35"/>
      <c r="BD96" s="35"/>
      <c r="BE96" s="35"/>
      <c r="BF96" s="35"/>
      <c r="BG96" s="35"/>
      <c r="BH96" s="35"/>
      <c r="BI96" s="35"/>
      <c r="BJ96" s="35"/>
      <c r="BK96" s="35"/>
      <c r="BL96" s="35"/>
      <c r="BM96" s="35"/>
      <c r="BN96" s="35"/>
      <c r="BO96" s="35"/>
      <c r="BP96" s="35"/>
      <c r="BQ96" s="35"/>
      <c r="BR96" s="35"/>
      <c r="BS96" s="35"/>
      <c r="BT96" s="35"/>
      <c r="BU96" s="35"/>
      <c r="BV96" s="35"/>
      <c r="BW96" s="35"/>
      <c r="BX96" s="35"/>
      <c r="BY96" s="35"/>
      <c r="BZ96" s="35"/>
      <c r="CA96" s="35"/>
      <c r="CB96" s="35"/>
      <c r="CC96" s="35"/>
      <c r="CD96" s="35"/>
      <c r="CE96" s="35"/>
      <c r="CF96" s="35"/>
      <c r="CG96" s="35"/>
      <c r="CH96" s="35"/>
      <c r="CI96" s="35"/>
      <c r="CJ96" s="35"/>
      <c r="CK96" s="35"/>
      <c r="CL96" s="35"/>
      <c r="CM96" s="35"/>
      <c r="CN96" s="35"/>
      <c r="CO96" s="35"/>
      <c r="CP96" s="35"/>
      <c r="CQ96" s="35"/>
      <c r="CR96" s="35"/>
      <c r="CS96" s="35"/>
      <c r="CT96" s="35"/>
      <c r="CU96" s="35"/>
      <c r="CV96" s="35"/>
      <c r="CW96" s="35"/>
      <c r="CX96" s="35"/>
      <c r="CY96" s="35"/>
      <c r="CZ96" s="35"/>
      <c r="DA96" s="35"/>
      <c r="DB96" s="35"/>
      <c r="DC96" s="35"/>
      <c r="DD96" s="35"/>
      <c r="DE96" s="35"/>
      <c r="DF96" s="35"/>
      <c r="DG96" s="35"/>
      <c r="DH96" s="35"/>
      <c r="DI96" s="35"/>
      <c r="DJ96" s="35"/>
      <c r="DK96" s="35"/>
      <c r="DL96" s="35"/>
      <c r="DM96" s="35"/>
      <c r="DN96" s="35"/>
      <c r="DO96" t="str">
        <f t="shared" si="8"/>
        <v/>
      </c>
    </row>
  </sheetData>
  <mergeCells count="6">
    <mergeCell ref="B1:F1"/>
    <mergeCell ref="B2:J2"/>
    <mergeCell ref="B4:C4"/>
    <mergeCell ref="H4:K4"/>
    <mergeCell ref="B5:C5"/>
    <mergeCell ref="H5:K5"/>
  </mergeCells>
  <conditionalFormatting sqref="L35:L96 L9:L18 L25">
    <cfRule type="cellIs" dxfId="27" priority="1" stopIfTrue="1" operator="equal">
      <formula>"On Track"</formula>
    </cfRule>
    <cfRule type="cellIs" dxfId="26" priority="2" stopIfTrue="1" operator="equal">
      <formula>"Behind"</formula>
    </cfRule>
    <cfRule type="cellIs" dxfId="25" priority="3" stopIfTrue="1" operator="equal">
      <formula>"Complete"</formula>
    </cfRule>
    <cfRule type="cellIs" dxfId="24" priority="4" stopIfTrue="1" operator="equal">
      <formula>"Not Started"</formula>
    </cfRule>
  </conditionalFormatting>
  <conditionalFormatting sqref="O8:DN8">
    <cfRule type="expression" dxfId="23" priority="5" stopIfTrue="1">
      <formula>AND(O$8&lt;&gt;"",TODAY()&gt;=O$8,TODAY()&lt;O$8+7)</formula>
    </cfRule>
  </conditionalFormatting>
  <conditionalFormatting sqref="K35:K96 K9:K18 K25">
    <cfRule type="dataBar" priority="6">
      <dataBar>
        <cfvo type="num" val="0"/>
        <cfvo type="num" val="1"/>
        <color rgb="FF2563EB"/>
      </dataBar>
      <extLst>
        <ext xmlns:x14="http://schemas.microsoft.com/office/spreadsheetml/2009/9/main" uri="{B025F937-C7B1-47D3-B67F-A62EFF666E3E}">
          <x14:id>{9F1144E1-C1A3-4079-A231-656C37D537C2}</x14:id>
        </ext>
      </extLst>
    </cfRule>
  </conditionalFormatting>
  <conditionalFormatting sqref="O9:DN9 P10:DN17 O18:DN18 O35:DN96 P25:DN25">
    <cfRule type="expression" dxfId="22" priority="7" stopIfTrue="1">
      <formula>AND(O$8&lt;&gt;"",O$8+6&gt;=$E9,O$8&lt;=$G9,$J9&lt;&gt;"",$J9&gt;$I9)</formula>
    </cfRule>
    <cfRule type="expression" dxfId="21" priority="8" stopIfTrue="1">
      <formula>AND(O$8&lt;&gt;"",O$8+6&gt;=$E9,O$8&lt;=$G9,OR($J9="",$J9&lt;=$I9))</formula>
    </cfRule>
  </conditionalFormatting>
  <dataValidations count="2">
    <dataValidation type="whole" allowBlank="1" showInputMessage="1" showErrorMessage="1" sqref="I35:J96 I9:J25" xr:uid="{210A3EA6-1CA8-4B97-953F-29851AED8C49}">
      <formula1>1</formula1>
      <formula2>365</formula2>
    </dataValidation>
    <dataValidation type="decimal" allowBlank="1" showInputMessage="1" showErrorMessage="1" sqref="K35:K96 K9:K25" xr:uid="{C27F73B1-BB67-4ED1-9433-24DC32DD32FF}">
      <formula1>0</formula1>
      <formula2>1</formula2>
    </dataValidation>
  </dataValidations>
  <hyperlinks>
    <hyperlink ref="B1" location="'Program Dashboard'!A1" tooltip="Return to Program Dashboard" display="‹  Program Dashboard" xr:uid="{7472ADA6-0412-4C96-BB40-E223119BFB6F}"/>
  </hyperlinks>
  <pageMargins left="0.75" right="0.75" top="1" bottom="1" header="0.5" footer="0.5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1144E1-C1A3-4079-A231-656C37D537C2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K35:K96 K9:K18 K25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F1E2E"/>
  </sheetPr>
  <dimension ref="A1:DO90"/>
  <sheetViews>
    <sheetView showGridLines="0" workbookViewId="0">
      <pane xSplit="1" ySplit="8" topLeftCell="B9" activePane="bottomRight" state="frozen"/>
      <selection pane="topRight"/>
      <selection pane="bottomLeft"/>
      <selection pane="bottomRight" activeCell="AD18" sqref="AD18"/>
    </sheetView>
  </sheetViews>
  <sheetFormatPr defaultRowHeight="15" x14ac:dyDescent="0.25"/>
  <cols>
    <col min="1" max="1" width="2.140625" hidden="1" customWidth="1"/>
    <col min="2" max="2" width="13.42578125" customWidth="1"/>
    <col min="3" max="3" width="29" customWidth="1"/>
    <col min="4" max="4" width="13" customWidth="1"/>
    <col min="5" max="5" width="13.42578125" customWidth="1"/>
    <col min="6" max="6" width="9.140625" hidden="1" customWidth="1"/>
    <col min="7" max="7" width="13" customWidth="1"/>
    <col min="8" max="8" width="9.7109375" hidden="1" customWidth="1"/>
    <col min="9" max="9" width="4.28515625" hidden="1" customWidth="1"/>
    <col min="10" max="10" width="11" customWidth="1"/>
    <col min="11" max="11" width="12" customWidth="1"/>
    <col min="12" max="12" width="28" customWidth="1"/>
    <col min="13" max="13" width="30.5703125" customWidth="1"/>
    <col min="14" max="14" width="13.85546875" customWidth="1"/>
    <col min="15" max="29" width="5.7109375" bestFit="1" customWidth="1"/>
    <col min="30" max="30" width="9.42578125" customWidth="1"/>
    <col min="31" max="31" width="7" customWidth="1"/>
    <col min="32" max="32" width="8.28515625" customWidth="1"/>
    <col min="33" max="118" width="5.140625" customWidth="1"/>
    <col min="119" max="119" width="0" hidden="1" customWidth="1"/>
  </cols>
  <sheetData>
    <row r="1" spans="1:119" ht="15" customHeight="1" x14ac:dyDescent="0.25">
      <c r="A1" s="1"/>
      <c r="B1" s="46" t="s">
        <v>38</v>
      </c>
      <c r="C1" s="47"/>
      <c r="D1" s="47"/>
      <c r="E1" s="47"/>
      <c r="F1" s="47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</row>
    <row r="2" spans="1:119" ht="30" customHeight="1" x14ac:dyDescent="0.25">
      <c r="A2" s="1"/>
      <c r="B2" s="48" t="s">
        <v>39</v>
      </c>
      <c r="C2" s="47"/>
      <c r="D2" s="47"/>
      <c r="E2" s="47"/>
      <c r="F2" s="47"/>
      <c r="G2" s="47"/>
      <c r="H2" s="47"/>
      <c r="I2" s="47"/>
      <c r="J2" s="47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</row>
    <row r="3" spans="1:119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</row>
    <row r="4" spans="1:119" ht="21.95" customHeight="1" x14ac:dyDescent="0.25">
      <c r="A4" s="1"/>
      <c r="B4" s="49" t="s">
        <v>18</v>
      </c>
      <c r="C4" s="50"/>
      <c r="D4" s="14" t="s">
        <v>19</v>
      </c>
      <c r="E4" s="27" t="s">
        <v>20</v>
      </c>
      <c r="F4" s="39"/>
      <c r="G4" s="17" t="s">
        <v>21</v>
      </c>
      <c r="H4" s="51" t="s">
        <v>22</v>
      </c>
      <c r="I4" s="52"/>
      <c r="J4" s="52"/>
      <c r="K4" s="52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</row>
    <row r="5" spans="1:119" ht="26.1" customHeight="1" x14ac:dyDescent="0.25">
      <c r="A5" s="1"/>
      <c r="B5" s="53">
        <v>46085</v>
      </c>
      <c r="C5" s="50"/>
      <c r="D5" s="15">
        <f>IF(COUNT(G9:G90)=0,"",MAX(G9:G90))</f>
        <v>46196</v>
      </c>
      <c r="E5" s="28">
        <f>IFERROR(SUMPRODUCT(I9:I90,K9:K90)/SUM(I9:I90),0)</f>
        <v>0.79661016949152541</v>
      </c>
      <c r="F5" s="40"/>
      <c r="G5" s="16" t="str">
        <f ca="1">IF(E5&gt;=1,"Complete",IF(COUNTIF(L9:L90,"Behind")&gt;0,"Behind",IF(AND(COUNTIF(C9:C90,"&lt;&gt;")&gt;0,COUNTIF(L9:L90,"Not Started")=COUNTIF(C9:C90,"&lt;&gt;")),"Not Started","On Track")))</f>
        <v>Behind</v>
      </c>
      <c r="H5" s="54">
        <f ca="1">D5-TODAY()</f>
        <v>7</v>
      </c>
      <c r="I5" s="55"/>
      <c r="J5" s="55"/>
      <c r="K5" s="55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</row>
    <row r="6" spans="1:119" ht="18" customHeight="1" x14ac:dyDescent="0.3">
      <c r="A6" s="1"/>
      <c r="B6" s="44" t="s">
        <v>23</v>
      </c>
      <c r="C6" s="43" t="str">
        <f ca="1">IFERROR(INDEX(C9:C90,MATCH(0,DO9:DO90,0)),"Program Complete")</f>
        <v>Trim and Deflash FA</v>
      </c>
      <c r="D6" s="1"/>
      <c r="E6" s="1"/>
      <c r="F6" s="1"/>
      <c r="G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</row>
    <row r="7" spans="1:119" ht="1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</row>
    <row r="8" spans="1:119" ht="30" customHeight="1" x14ac:dyDescent="0.25">
      <c r="A8" s="1"/>
      <c r="B8" s="4" t="s">
        <v>24</v>
      </c>
      <c r="C8" s="4" t="s">
        <v>25</v>
      </c>
      <c r="D8" s="4" t="s">
        <v>26</v>
      </c>
      <c r="E8" s="4" t="s">
        <v>27</v>
      </c>
      <c r="F8" s="4" t="s">
        <v>28</v>
      </c>
      <c r="G8" s="4" t="s">
        <v>29</v>
      </c>
      <c r="H8" s="4" t="s">
        <v>30</v>
      </c>
      <c r="I8" s="4" t="s">
        <v>35</v>
      </c>
      <c r="J8" s="4" t="s">
        <v>36</v>
      </c>
      <c r="K8" s="4" t="s">
        <v>31</v>
      </c>
      <c r="L8" s="4" t="s">
        <v>17</v>
      </c>
      <c r="M8" s="4" t="s">
        <v>32</v>
      </c>
      <c r="N8" s="41"/>
      <c r="O8" s="22">
        <f>$B$5</f>
        <v>46085</v>
      </c>
      <c r="P8" s="22">
        <f t="shared" ref="P8:AU8" si="0">IF(O8="","",IF(O8+7&gt;$D$5,"",O8+7))</f>
        <v>46092</v>
      </c>
      <c r="Q8" s="22">
        <f t="shared" si="0"/>
        <v>46099</v>
      </c>
      <c r="R8" s="22">
        <f t="shared" si="0"/>
        <v>46106</v>
      </c>
      <c r="S8" s="22">
        <f t="shared" si="0"/>
        <v>46113</v>
      </c>
      <c r="T8" s="22">
        <f t="shared" si="0"/>
        <v>46120</v>
      </c>
      <c r="U8" s="22">
        <f t="shared" si="0"/>
        <v>46127</v>
      </c>
      <c r="V8" s="22">
        <f t="shared" si="0"/>
        <v>46134</v>
      </c>
      <c r="W8" s="22">
        <f t="shared" si="0"/>
        <v>46141</v>
      </c>
      <c r="X8" s="22">
        <f t="shared" si="0"/>
        <v>46148</v>
      </c>
      <c r="Y8" s="22">
        <f t="shared" si="0"/>
        <v>46155</v>
      </c>
      <c r="Z8" s="22">
        <f t="shared" si="0"/>
        <v>46162</v>
      </c>
      <c r="AA8" s="22">
        <f t="shared" si="0"/>
        <v>46169</v>
      </c>
      <c r="AB8" s="22">
        <f t="shared" si="0"/>
        <v>46176</v>
      </c>
      <c r="AC8" s="22">
        <f t="shared" si="0"/>
        <v>46183</v>
      </c>
      <c r="AD8" s="22">
        <f t="shared" si="0"/>
        <v>46190</v>
      </c>
      <c r="AE8" s="22" t="str">
        <f t="shared" si="0"/>
        <v/>
      </c>
      <c r="AF8" s="22" t="str">
        <f t="shared" si="0"/>
        <v/>
      </c>
      <c r="AG8" s="22" t="str">
        <f t="shared" si="0"/>
        <v/>
      </c>
      <c r="AH8" s="22" t="str">
        <f t="shared" si="0"/>
        <v/>
      </c>
      <c r="AI8" s="22" t="str">
        <f t="shared" si="0"/>
        <v/>
      </c>
      <c r="AJ8" s="22" t="str">
        <f t="shared" si="0"/>
        <v/>
      </c>
      <c r="AK8" s="22" t="str">
        <f t="shared" si="0"/>
        <v/>
      </c>
      <c r="AL8" s="22" t="str">
        <f t="shared" si="0"/>
        <v/>
      </c>
      <c r="AM8" s="22" t="str">
        <f t="shared" si="0"/>
        <v/>
      </c>
      <c r="AN8" s="22" t="str">
        <f t="shared" si="0"/>
        <v/>
      </c>
      <c r="AO8" s="22" t="str">
        <f t="shared" si="0"/>
        <v/>
      </c>
      <c r="AP8" s="22" t="str">
        <f t="shared" si="0"/>
        <v/>
      </c>
      <c r="AQ8" s="22" t="str">
        <f t="shared" si="0"/>
        <v/>
      </c>
      <c r="AR8" s="22" t="str">
        <f t="shared" si="0"/>
        <v/>
      </c>
      <c r="AS8" s="22" t="str">
        <f t="shared" si="0"/>
        <v/>
      </c>
      <c r="AT8" s="22" t="str">
        <f t="shared" si="0"/>
        <v/>
      </c>
      <c r="AU8" s="22" t="str">
        <f t="shared" si="0"/>
        <v/>
      </c>
      <c r="AV8" s="22" t="str">
        <f t="shared" ref="AV8:CA8" si="1">IF(AU8="","",IF(AU8+7&gt;$D$5,"",AU8+7))</f>
        <v/>
      </c>
      <c r="AW8" s="22" t="str">
        <f t="shared" si="1"/>
        <v/>
      </c>
      <c r="AX8" s="22" t="str">
        <f t="shared" si="1"/>
        <v/>
      </c>
      <c r="AY8" s="22" t="str">
        <f t="shared" si="1"/>
        <v/>
      </c>
      <c r="AZ8" s="22" t="str">
        <f t="shared" si="1"/>
        <v/>
      </c>
      <c r="BA8" s="22" t="str">
        <f t="shared" si="1"/>
        <v/>
      </c>
      <c r="BB8" s="22" t="str">
        <f t="shared" si="1"/>
        <v/>
      </c>
      <c r="BC8" s="22" t="str">
        <f t="shared" si="1"/>
        <v/>
      </c>
      <c r="BD8" s="22" t="str">
        <f t="shared" si="1"/>
        <v/>
      </c>
      <c r="BE8" s="22" t="str">
        <f t="shared" si="1"/>
        <v/>
      </c>
      <c r="BF8" s="22" t="str">
        <f t="shared" si="1"/>
        <v/>
      </c>
      <c r="BG8" s="22" t="str">
        <f t="shared" si="1"/>
        <v/>
      </c>
      <c r="BH8" s="22" t="str">
        <f t="shared" si="1"/>
        <v/>
      </c>
      <c r="BI8" s="22" t="str">
        <f t="shared" si="1"/>
        <v/>
      </c>
      <c r="BJ8" s="22" t="str">
        <f t="shared" si="1"/>
        <v/>
      </c>
      <c r="BK8" s="22" t="str">
        <f t="shared" si="1"/>
        <v/>
      </c>
      <c r="BL8" s="22" t="str">
        <f t="shared" si="1"/>
        <v/>
      </c>
      <c r="BM8" s="22" t="str">
        <f t="shared" si="1"/>
        <v/>
      </c>
      <c r="BN8" s="22" t="str">
        <f t="shared" si="1"/>
        <v/>
      </c>
      <c r="BO8" s="22" t="str">
        <f t="shared" si="1"/>
        <v/>
      </c>
      <c r="BP8" s="22" t="str">
        <f t="shared" si="1"/>
        <v/>
      </c>
      <c r="BQ8" s="22" t="str">
        <f t="shared" si="1"/>
        <v/>
      </c>
      <c r="BR8" s="22" t="str">
        <f t="shared" si="1"/>
        <v/>
      </c>
      <c r="BS8" s="22" t="str">
        <f t="shared" si="1"/>
        <v/>
      </c>
      <c r="BT8" s="22" t="str">
        <f t="shared" si="1"/>
        <v/>
      </c>
      <c r="BU8" s="22" t="str">
        <f t="shared" si="1"/>
        <v/>
      </c>
      <c r="BV8" s="22" t="str">
        <f t="shared" si="1"/>
        <v/>
      </c>
      <c r="BW8" s="22" t="str">
        <f t="shared" si="1"/>
        <v/>
      </c>
      <c r="BX8" s="22" t="str">
        <f t="shared" si="1"/>
        <v/>
      </c>
      <c r="BY8" s="22" t="str">
        <f t="shared" si="1"/>
        <v/>
      </c>
      <c r="BZ8" s="22" t="str">
        <f t="shared" si="1"/>
        <v/>
      </c>
      <c r="CA8" s="22" t="str">
        <f t="shared" si="1"/>
        <v/>
      </c>
      <c r="CB8" s="22" t="str">
        <f t="shared" ref="CB8:DG8" si="2">IF(CA8="","",IF(CA8+7&gt;$D$5,"",CA8+7))</f>
        <v/>
      </c>
      <c r="CC8" s="22" t="str">
        <f t="shared" si="2"/>
        <v/>
      </c>
      <c r="CD8" s="22" t="str">
        <f t="shared" si="2"/>
        <v/>
      </c>
      <c r="CE8" s="22" t="str">
        <f t="shared" si="2"/>
        <v/>
      </c>
      <c r="CF8" s="22" t="str">
        <f t="shared" si="2"/>
        <v/>
      </c>
      <c r="CG8" s="22" t="str">
        <f t="shared" si="2"/>
        <v/>
      </c>
      <c r="CH8" s="22" t="str">
        <f t="shared" si="2"/>
        <v/>
      </c>
      <c r="CI8" s="22" t="str">
        <f t="shared" si="2"/>
        <v/>
      </c>
      <c r="CJ8" s="22" t="str">
        <f t="shared" si="2"/>
        <v/>
      </c>
      <c r="CK8" s="22" t="str">
        <f t="shared" si="2"/>
        <v/>
      </c>
      <c r="CL8" s="22" t="str">
        <f t="shared" si="2"/>
        <v/>
      </c>
      <c r="CM8" s="22" t="str">
        <f t="shared" si="2"/>
        <v/>
      </c>
      <c r="CN8" s="22" t="str">
        <f t="shared" si="2"/>
        <v/>
      </c>
      <c r="CO8" s="22" t="str">
        <f t="shared" si="2"/>
        <v/>
      </c>
      <c r="CP8" s="22" t="str">
        <f t="shared" si="2"/>
        <v/>
      </c>
      <c r="CQ8" s="22" t="str">
        <f t="shared" si="2"/>
        <v/>
      </c>
      <c r="CR8" s="22" t="str">
        <f t="shared" si="2"/>
        <v/>
      </c>
      <c r="CS8" s="22" t="str">
        <f t="shared" si="2"/>
        <v/>
      </c>
      <c r="CT8" s="22" t="str">
        <f t="shared" si="2"/>
        <v/>
      </c>
      <c r="CU8" s="22" t="str">
        <f t="shared" si="2"/>
        <v/>
      </c>
      <c r="CV8" s="22" t="str">
        <f t="shared" si="2"/>
        <v/>
      </c>
      <c r="CW8" s="22" t="str">
        <f t="shared" si="2"/>
        <v/>
      </c>
      <c r="CX8" s="22" t="str">
        <f t="shared" si="2"/>
        <v/>
      </c>
      <c r="CY8" s="22" t="str">
        <f t="shared" si="2"/>
        <v/>
      </c>
      <c r="CZ8" s="22" t="str">
        <f t="shared" si="2"/>
        <v/>
      </c>
      <c r="DA8" s="22" t="str">
        <f t="shared" si="2"/>
        <v/>
      </c>
      <c r="DB8" s="22" t="str">
        <f t="shared" si="2"/>
        <v/>
      </c>
      <c r="DC8" s="22" t="str">
        <f t="shared" si="2"/>
        <v/>
      </c>
      <c r="DD8" s="22" t="str">
        <f t="shared" si="2"/>
        <v/>
      </c>
      <c r="DE8" s="22" t="str">
        <f t="shared" si="2"/>
        <v/>
      </c>
      <c r="DF8" s="22" t="str">
        <f t="shared" si="2"/>
        <v/>
      </c>
      <c r="DG8" s="22" t="str">
        <f t="shared" si="2"/>
        <v/>
      </c>
      <c r="DH8" s="22" t="str">
        <f t="shared" ref="DH8:DN8" si="3">IF(DG8="","",IF(DG8+7&gt;$D$5,"",DG8+7))</f>
        <v/>
      </c>
      <c r="DI8" s="22" t="str">
        <f t="shared" si="3"/>
        <v/>
      </c>
      <c r="DJ8" s="22" t="str">
        <f t="shared" si="3"/>
        <v/>
      </c>
      <c r="DK8" s="22" t="str">
        <f t="shared" si="3"/>
        <v/>
      </c>
      <c r="DL8" s="22" t="str">
        <f t="shared" si="3"/>
        <v/>
      </c>
      <c r="DM8" s="22" t="str">
        <f t="shared" si="3"/>
        <v/>
      </c>
      <c r="DN8" s="22" t="str">
        <f t="shared" si="3"/>
        <v/>
      </c>
    </row>
    <row r="9" spans="1:119" ht="19.149999999999999" customHeight="1" x14ac:dyDescent="0.25">
      <c r="A9" s="1"/>
      <c r="B9" s="11">
        <f>IF(C9="","",COUNTIF($C$9:C9,"&lt;&gt;"))</f>
        <v>1</v>
      </c>
      <c r="C9" s="37" t="s">
        <v>40</v>
      </c>
      <c r="D9" s="37" t="s">
        <v>33</v>
      </c>
      <c r="E9" s="18">
        <f>IF(C9="","",$B$5)</f>
        <v>46085</v>
      </c>
      <c r="F9" s="18">
        <v>46085</v>
      </c>
      <c r="G9" s="18">
        <f>IF(OR(C9="",I9=""),"",WORKDAY.INTL(E9,IF(J9="",I9,J9)-1,"0000111",'Holiday Schedule'!$C$9:$C$18))</f>
      </c>
      <c r="H9" s="18">
        <v>46100</v>
      </c>
      <c r="I9" s="11">
        <v>12</v>
      </c>
      <c r="J9" s="11">
        <v>9</v>
      </c>
      <c r="K9" s="7">
        <v>1</v>
      </c>
      <c r="L9" s="11" t="str">
        <f t="shared" ref="L9:L19" ca="1" si="5">IF(C9="","",IF(K9&gt;=1,"Complete",IF(TODAY()&lt;E9,"Not Started",IF(K9&gt;=NETWORKDAYS.INTL(E9,MIN(TODAY(),G9),"0001111")/NETWORKDAYS.INTL(E9,G9,"0001111"),"On Track","Behind"))))</f>
        <v>Complete</v>
      </c>
      <c r="M9" s="11" t="s">
        <v>52</v>
      </c>
      <c r="N9" s="36"/>
      <c r="O9" s="29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  <c r="BG9" s="32"/>
      <c r="BH9" s="32"/>
      <c r="BI9" s="32"/>
      <c r="BJ9" s="32"/>
      <c r="BK9" s="32"/>
      <c r="BL9" s="32"/>
      <c r="BM9" s="32"/>
      <c r="BN9" s="32"/>
      <c r="BO9" s="32"/>
      <c r="BP9" s="32"/>
      <c r="BQ9" s="32"/>
      <c r="BR9" s="32"/>
      <c r="BS9" s="32"/>
      <c r="BT9" s="32"/>
      <c r="BU9" s="32"/>
      <c r="BV9" s="32"/>
      <c r="BW9" s="32"/>
      <c r="BX9" s="32"/>
      <c r="BY9" s="32"/>
      <c r="BZ9" s="32"/>
      <c r="CA9" s="32"/>
      <c r="CB9" s="32"/>
      <c r="CC9" s="32"/>
      <c r="CD9" s="32"/>
      <c r="CE9" s="32"/>
      <c r="CF9" s="32"/>
      <c r="CG9" s="32"/>
      <c r="CH9" s="32"/>
      <c r="CI9" s="32"/>
      <c r="CJ9" s="32"/>
      <c r="CK9" s="32"/>
      <c r="CL9" s="32"/>
      <c r="CM9" s="32"/>
      <c r="CN9" s="32"/>
      <c r="CO9" s="32"/>
      <c r="CP9" s="32"/>
      <c r="CQ9" s="32"/>
      <c r="CR9" s="32"/>
      <c r="CS9" s="32"/>
      <c r="CT9" s="32"/>
      <c r="CU9" s="32"/>
      <c r="CV9" s="32"/>
      <c r="CW9" s="32"/>
      <c r="CX9" s="32"/>
      <c r="CY9" s="32"/>
      <c r="CZ9" s="32"/>
      <c r="DA9" s="32"/>
      <c r="DB9" s="32"/>
      <c r="DC9" s="32"/>
      <c r="DD9" s="32"/>
      <c r="DE9" s="32"/>
      <c r="DF9" s="32"/>
      <c r="DG9" s="32"/>
      <c r="DH9" s="32"/>
      <c r="DI9" s="32"/>
      <c r="DJ9" s="32"/>
      <c r="DK9" s="32"/>
      <c r="DL9" s="32"/>
      <c r="DM9" s="32"/>
      <c r="DN9" s="32"/>
      <c r="DO9">
        <f t="shared" ref="DO9:DO31" ca="1" si="6">IF(C9="","",IF(L9="Complete",1,0))</f>
        <v>1</v>
      </c>
    </row>
    <row r="10" spans="1:119" ht="18.95" customHeight="1" x14ac:dyDescent="0.25">
      <c r="A10" s="1"/>
      <c r="B10" s="13">
        <f>IF(C10="","",COUNTIF($C$9:C10,"&lt;&gt;"))</f>
        <v>2</v>
      </c>
      <c r="C10" s="38" t="s">
        <v>41</v>
      </c>
      <c r="D10" s="38" t="s">
        <v>33</v>
      </c>
      <c r="E10" s="19">
        <v>46104</v>
      </c>
      <c r="F10" s="19">
        <v>46104</v>
      </c>
      <c r="G10" s="19">
        <f>IF(OR(C10="",I10=""),"",WORKDAY.INTL(E10,IF(J10="",I10,J10)-1,"0000111",'Holiday Schedule'!$C$9:$C$18))</f>
      </c>
      <c r="H10" s="19">
        <v>46132</v>
      </c>
      <c r="I10" s="13">
        <v>10</v>
      </c>
      <c r="J10" s="13">
        <v>16</v>
      </c>
      <c r="K10" s="12">
        <v>1</v>
      </c>
      <c r="L10" s="13" t="str">
        <f t="shared" ca="1" si="5"/>
        <v>Complete</v>
      </c>
      <c r="M10" s="13" t="s">
        <v>53</v>
      </c>
      <c r="N10" s="42"/>
      <c r="O10" s="42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  <c r="DL10" s="33"/>
      <c r="DM10" s="33"/>
      <c r="DN10" s="33"/>
      <c r="DO10">
        <f t="shared" ca="1" si="6"/>
        <v>1</v>
      </c>
    </row>
    <row r="11" spans="1:119" ht="18.95" customHeight="1" x14ac:dyDescent="0.25">
      <c r="A11" s="1"/>
      <c r="B11" s="11">
        <f>IF(C11="","",COUNTIF($C$9:C11,"&lt;&gt;"))</f>
        <v>3</v>
      </c>
      <c r="C11" s="37" t="s">
        <v>42</v>
      </c>
      <c r="D11" s="37" t="s">
        <v>33</v>
      </c>
      <c r="E11" s="18">
        <f>IF(C11="","",WORKDAY.INTL(G10,1,"0000111",'Holiday Schedule'!$C$9:$C$18))</f>
      </c>
      <c r="F11" s="18">
        <v>46133</v>
      </c>
      <c r="G11" s="18">
        <f>IF(OR(C11="",I11=""),"",WORKDAY.INTL(E11,IF(J11="",I11,J11)-1,"0000111",'Holiday Schedule'!$C$9:$C$18))</f>
      </c>
      <c r="H11" s="18">
        <v>46141</v>
      </c>
      <c r="I11" s="11">
        <v>15</v>
      </c>
      <c r="J11" s="11">
        <v>17</v>
      </c>
      <c r="K11" s="7">
        <v>1</v>
      </c>
      <c r="L11" s="11" t="str">
        <f t="shared" ca="1" si="5"/>
        <v>Complete</v>
      </c>
      <c r="M11" s="11" t="s">
        <v>54</v>
      </c>
      <c r="N11" s="36"/>
      <c r="O11" s="36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>
        <f t="shared" ca="1" si="6"/>
        <v>1</v>
      </c>
    </row>
    <row r="12" spans="1:119" ht="18.95" customHeight="1" x14ac:dyDescent="0.25">
      <c r="A12" s="1"/>
      <c r="B12" s="13">
        <f>IF(C12="","",COUNTIF($C$9:C12,"&lt;&gt;"))</f>
        <v>4</v>
      </c>
      <c r="C12" s="38" t="s">
        <v>43</v>
      </c>
      <c r="D12" s="38" t="s">
        <v>50</v>
      </c>
      <c r="E12" s="19">
        <v>46163</v>
      </c>
      <c r="F12" s="19">
        <v>46142</v>
      </c>
      <c r="G12" s="19">
        <f>IF(OR(C12="",I12=""),"",WORKDAY.INTL(E12,IF(J12="",I12,J12)-1,"0000111",'Holiday Schedule'!$C$9:$C$18))</f>
      </c>
      <c r="H12" s="19">
        <v>46147</v>
      </c>
      <c r="I12" s="13">
        <v>3</v>
      </c>
      <c r="J12" s="13">
        <v>4</v>
      </c>
      <c r="K12" s="12">
        <v>1</v>
      </c>
      <c r="L12" s="13" t="str">
        <f t="shared" ca="1" si="5"/>
        <v>Complete</v>
      </c>
      <c r="M12" s="13" t="s">
        <v>55</v>
      </c>
      <c r="N12" s="42"/>
      <c r="O12" s="42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3"/>
      <c r="CE12" s="33"/>
      <c r="CF12" s="33"/>
      <c r="CG12" s="33"/>
      <c r="CH12" s="33"/>
      <c r="CI12" s="33"/>
      <c r="CJ12" s="33"/>
      <c r="CK12" s="33"/>
      <c r="CL12" s="33"/>
      <c r="CM12" s="33"/>
      <c r="CN12" s="33"/>
      <c r="CO12" s="33"/>
      <c r="CP12" s="33"/>
      <c r="CQ12" s="33"/>
      <c r="CR12" s="33"/>
      <c r="CS12" s="33"/>
      <c r="CT12" s="33"/>
      <c r="CU12" s="33"/>
      <c r="CV12" s="33"/>
      <c r="CW12" s="33"/>
      <c r="CX12" s="33"/>
      <c r="CY12" s="33"/>
      <c r="CZ12" s="33"/>
      <c r="DA12" s="33"/>
      <c r="DB12" s="33"/>
      <c r="DC12" s="33"/>
      <c r="DD12" s="33"/>
      <c r="DE12" s="33"/>
      <c r="DF12" s="33"/>
      <c r="DG12" s="33"/>
      <c r="DH12" s="33"/>
      <c r="DI12" s="33"/>
      <c r="DJ12" s="33"/>
      <c r="DK12" s="33"/>
      <c r="DL12" s="33"/>
      <c r="DM12" s="33"/>
      <c r="DN12" s="33"/>
      <c r="DO12">
        <f t="shared" ca="1" si="6"/>
        <v>1</v>
      </c>
    </row>
    <row r="13" spans="1:119" ht="18.95" customHeight="1" x14ac:dyDescent="0.25">
      <c r="A13" s="1"/>
      <c r="B13" s="11">
        <f>IF(C13="","",COUNTIF($C$9:C13,"&lt;&gt;"))</f>
        <v>5</v>
      </c>
      <c r="C13" s="37" t="s">
        <v>44</v>
      </c>
      <c r="D13" s="37" t="s">
        <v>51</v>
      </c>
      <c r="E13" s="18">
        <f>IF(C13="","",WORKDAY.INTL(G12,1,"0000111",'Holiday Schedule'!$C$9:$C$18))</f>
      </c>
      <c r="F13" s="18">
        <v>46148</v>
      </c>
      <c r="G13" s="18">
        <f>IF(OR(C13="",I13=""),"",WORKDAY.INTL(E13,IF(J13="",I13,J13)-1,"0000111",'Holiday Schedule'!$C$9:$C$18))</f>
      </c>
      <c r="H13" s="18">
        <v>46153</v>
      </c>
      <c r="I13" s="11">
        <v>3</v>
      </c>
      <c r="J13" s="11">
        <v>2</v>
      </c>
      <c r="K13" s="7">
        <v>1</v>
      </c>
      <c r="L13" s="11" t="str">
        <f t="shared" ca="1" si="5"/>
        <v>Complete</v>
      </c>
      <c r="M13" s="11" t="s">
        <v>55</v>
      </c>
      <c r="N13" s="36"/>
      <c r="O13" s="36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/>
      <c r="DK13" s="34"/>
      <c r="DL13" s="34"/>
      <c r="DM13" s="34"/>
      <c r="DN13" s="34"/>
      <c r="DO13">
        <f t="shared" ca="1" si="6"/>
        <v>1</v>
      </c>
    </row>
    <row r="14" spans="1:119" ht="18.95" customHeight="1" x14ac:dyDescent="0.25">
      <c r="A14" s="1"/>
      <c r="B14" s="13">
        <f>IF(C14="","",COUNTIF($C$9:C14,"&lt;&gt;"))</f>
        <v>6</v>
      </c>
      <c r="C14" s="38" t="s">
        <v>45</v>
      </c>
      <c r="D14" s="38" t="s">
        <v>51</v>
      </c>
      <c r="E14" s="19">
        <f>IF(C14="","",WORKDAY.INTL(G13,1,"0000111",'Holiday Schedule'!$C$9:$C$18))</f>
      </c>
      <c r="F14" s="19">
        <v>46148</v>
      </c>
      <c r="G14" s="19">
        <f>IF(OR(C14="",I14=""),"",WORKDAY.INTL(E14,IF(J14="",I14,J14)-1,"0000111",'Holiday Schedule'!$C$9:$C$18))</f>
      </c>
      <c r="H14" s="19">
        <v>46155</v>
      </c>
      <c r="I14" s="13">
        <v>4</v>
      </c>
      <c r="J14" s="13">
        <v>5</v>
      </c>
      <c r="K14" s="12">
        <v>1</v>
      </c>
      <c r="L14" s="13" t="str">
        <f t="shared" ca="1" si="5"/>
        <v>Complete</v>
      </c>
      <c r="M14" s="13" t="s">
        <v>56</v>
      </c>
      <c r="N14" s="42"/>
      <c r="O14" s="42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s="33"/>
      <c r="CE14" s="33"/>
      <c r="CF14" s="33"/>
      <c r="CG14" s="33"/>
      <c r="CH14" s="33"/>
      <c r="CI14" s="33"/>
      <c r="CJ14" s="33"/>
      <c r="CK14" s="33"/>
      <c r="CL14" s="33"/>
      <c r="CM14" s="33"/>
      <c r="CN14" s="33"/>
      <c r="CO14" s="33"/>
      <c r="CP14" s="33"/>
      <c r="CQ14" s="33"/>
      <c r="CR14" s="33"/>
      <c r="CS14" s="33"/>
      <c r="CT14" s="33"/>
      <c r="CU14" s="33"/>
      <c r="CV14" s="33"/>
      <c r="CW14" s="33"/>
      <c r="CX14" s="33"/>
      <c r="CY14" s="33"/>
      <c r="CZ14" s="33"/>
      <c r="DA14" s="33"/>
      <c r="DB14" s="33"/>
      <c r="DC14" s="33"/>
      <c r="DD14" s="33"/>
      <c r="DE14" s="33"/>
      <c r="DF14" s="33"/>
      <c r="DG14" s="33"/>
      <c r="DH14" s="33"/>
      <c r="DI14" s="33"/>
      <c r="DJ14" s="33"/>
      <c r="DK14" s="33"/>
      <c r="DL14" s="33"/>
      <c r="DM14" s="33"/>
      <c r="DN14" s="33"/>
      <c r="DO14">
        <f t="shared" ca="1" si="6"/>
        <v>1</v>
      </c>
    </row>
    <row r="15" spans="1:119" ht="18.95" customHeight="1" x14ac:dyDescent="0.25">
      <c r="A15" s="1"/>
      <c r="B15" s="11">
        <f>IF(C15="","",COUNTIF($C$9:C15,"&lt;&gt;"))</f>
        <v>7</v>
      </c>
      <c r="C15" s="37" t="s">
        <v>46</v>
      </c>
      <c r="D15" s="37" t="s">
        <v>51</v>
      </c>
      <c r="E15" s="18">
        <f>IF(C15="","",WORKDAY.INTL(G14,1,"0000111",'Holiday Schedule'!$C$9:$C$18))</f>
      </c>
      <c r="F15" s="18">
        <v>46154</v>
      </c>
      <c r="G15" s="18">
        <f>IF(OR(C15="",I15=""),"",WORKDAY.INTL(E15,IF(J15="",I15,J15)-1,"0000111",'Holiday Schedule'!$C$9:$C$18))</f>
      </c>
      <c r="H15" s="18">
        <v>46160</v>
      </c>
      <c r="I15" s="11">
        <v>2</v>
      </c>
      <c r="J15" s="11">
        <v>2</v>
      </c>
      <c r="K15" s="7">
        <v>0</v>
      </c>
      <c r="L15" s="11" t="str">
        <f t="shared" ca="1" si="5"/>
        <v>Behind</v>
      </c>
      <c r="M15" s="11" t="s">
        <v>57</v>
      </c>
      <c r="N15" s="36"/>
      <c r="O15" s="36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>
        <f t="shared" ca="1" si="6"/>
        <v>0</v>
      </c>
    </row>
    <row r="16" spans="1:119" ht="27.6" customHeight="1" x14ac:dyDescent="0.25">
      <c r="A16" s="1"/>
      <c r="B16" s="13">
        <f>IF(C16="","",COUNTIF($C$9:C16,"&lt;&gt;"))</f>
        <v>8</v>
      </c>
      <c r="C16" s="38" t="s">
        <v>47</v>
      </c>
      <c r="D16" s="38" t="s">
        <v>51</v>
      </c>
      <c r="E16" s="19">
        <f>IF(C16="","",WORKDAY.INTL(G15,1,"0000111",'Holiday Schedule'!$C$9:$C$18))</f>
      </c>
      <c r="F16" s="19">
        <v>46156</v>
      </c>
      <c r="G16" s="19">
        <f>IF(OR(C16="",I16=""),"",WORKDAY.INTL(E16,IF(J16="",I16,J16)-1,"0000111",'Holiday Schedule'!$C$9:$C$18))</f>
      </c>
      <c r="H16" s="19">
        <v>46162</v>
      </c>
      <c r="I16" s="13">
        <v>5</v>
      </c>
      <c r="J16" s="13">
        <v>2</v>
      </c>
      <c r="K16" s="12">
        <v>0</v>
      </c>
      <c r="L16" s="13" t="str">
        <f t="shared" ca="1" si="5"/>
        <v>Behind</v>
      </c>
      <c r="M16" s="13" t="s">
        <v>58</v>
      </c>
      <c r="N16" s="42"/>
      <c r="O16" s="42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>
        <f t="shared" ca="1" si="6"/>
        <v>0</v>
      </c>
    </row>
    <row r="17" spans="1:119" ht="33.6" customHeight="1" x14ac:dyDescent="0.25">
      <c r="A17" s="1"/>
      <c r="B17" s="11">
        <f>IF(C17="","",COUNTIF($C$9:C17,"&lt;&gt;"))</f>
        <v>9</v>
      </c>
      <c r="C17" s="37" t="s">
        <v>48</v>
      </c>
      <c r="D17" s="37" t="s">
        <v>34</v>
      </c>
      <c r="E17" s="18">
        <f>IF(C17="","",WORKDAY.INTL(G16,1,"0000111",'Holiday Schedule'!$C$9:$C$18))</f>
      </c>
      <c r="F17" s="18">
        <v>46161</v>
      </c>
      <c r="G17" s="18">
        <f>IF(OR(C17="",I17=""),"",WORKDAY.INTL(E17,IF(J17="",I17,J17)-1,"0000111",'Holiday Schedule'!$C$9:$C$18))</f>
      </c>
      <c r="H17" s="18">
        <v>46162</v>
      </c>
      <c r="I17" s="11">
        <v>2</v>
      </c>
      <c r="J17" s="11">
        <v>2</v>
      </c>
      <c r="K17" s="7">
        <v>0</v>
      </c>
      <c r="L17" s="11" t="str">
        <f t="shared" ca="1" si="5"/>
        <v>Not Started</v>
      </c>
      <c r="M17" s="11" t="s">
        <v>59</v>
      </c>
      <c r="N17" s="36"/>
      <c r="O17" s="36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>
        <f t="shared" ca="1" si="6"/>
        <v>0</v>
      </c>
    </row>
    <row r="18" spans="1:119" ht="18.95" customHeight="1" x14ac:dyDescent="0.25">
      <c r="A18" s="1"/>
      <c r="B18" s="13">
        <f>IF(C18="","",COUNTIF($C$9:C18,"&lt;&gt;"))</f>
        <v>10</v>
      </c>
      <c r="C18" s="38" t="s">
        <v>49</v>
      </c>
      <c r="D18" s="38" t="s">
        <v>49</v>
      </c>
      <c r="E18" s="19">
        <f>IF(C18="","",WORKDAY.INTL(G17,1,"0000111",'Holiday Schedule'!$C$9:$C$18))</f>
      </c>
      <c r="F18" s="19">
        <v>46163</v>
      </c>
      <c r="G18" s="19">
        <v>46196</v>
      </c>
      <c r="H18" s="19">
        <v>46163</v>
      </c>
      <c r="I18" s="13">
        <v>3</v>
      </c>
      <c r="J18" s="13">
        <v>1</v>
      </c>
      <c r="K18" s="12">
        <v>0</v>
      </c>
      <c r="L18" s="13" t="str">
        <f t="shared" ca="1" si="5"/>
        <v>Not Started</v>
      </c>
      <c r="M18" s="13"/>
      <c r="N18" s="42"/>
      <c r="O18" s="30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>
        <f t="shared" ca="1" si="6"/>
        <v>0</v>
      </c>
    </row>
    <row r="19" spans="1:119" ht="33.6" customHeight="1" x14ac:dyDescent="0.25">
      <c r="A19" s="1"/>
      <c r="B19" s="11" t="str">
        <f>IF(C19="","ADD",COUNTIF($C$9:C19,"&lt;&gt;"))</f>
        <v>ADD</v>
      </c>
      <c r="C19" s="37"/>
      <c r="D19" s="37"/>
      <c r="E19" s="18" t="str">
        <f>IF(C19="","",WORKDAY.INTL(G18,1,"0000111",'Holiday Schedule'!$C$9:$C$18))</f>
        <v/>
      </c>
      <c r="F19" s="18" t="str">
        <f>IF(C19="","",E19)</f>
        <v/>
      </c>
      <c r="G19" s="18" t="str">
        <f>IF(OR(C19="",I19=""),"",WORKDAY.INTL(E19,IF(J19="",I19,J19)-1,"0000111",'Holiday Schedule'!$C$9:$C$18))</f>
        <v/>
      </c>
      <c r="H19" s="18" t="str">
        <f>IF(OR(C19="",I19=""),"",F19+(I19-1)+3*INT((WEEKDAY(F19,2)-1+(I19-1))/4))</f>
        <v/>
      </c>
      <c r="I19" s="11"/>
      <c r="J19" s="11"/>
      <c r="K19" s="7"/>
      <c r="L19" s="11" t="str">
        <f t="shared" ca="1" si="5"/>
        <v/>
      </c>
      <c r="M19" s="11" t="s">
        <v>37</v>
      </c>
      <c r="N19" s="36"/>
      <c r="O19" s="36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t="str">
        <f t="shared" si="6"/>
        <v/>
      </c>
    </row>
    <row r="20" spans="1:119" ht="18.95" customHeight="1" x14ac:dyDescent="0.25"/>
    <row r="21" spans="1:119" ht="18.95" customHeight="1" x14ac:dyDescent="0.25"/>
    <row r="22" spans="1:119" ht="18.95" customHeight="1" x14ac:dyDescent="0.25"/>
    <row r="23" spans="1:119" ht="18.95" customHeight="1" x14ac:dyDescent="0.25"/>
    <row r="24" spans="1:119" ht="18.95" customHeight="1" x14ac:dyDescent="0.25"/>
    <row r="25" spans="1:119" ht="18.95" customHeight="1" x14ac:dyDescent="0.25"/>
    <row r="26" spans="1:119" ht="18.95" customHeight="1" x14ac:dyDescent="0.25"/>
    <row r="27" spans="1:119" ht="18.95" customHeight="1" x14ac:dyDescent="0.25"/>
    <row r="28" spans="1:119" ht="18.95" customHeight="1" x14ac:dyDescent="0.25"/>
    <row r="29" spans="1:119" ht="18.95" customHeight="1" x14ac:dyDescent="0.25">
      <c r="E29" s="20"/>
      <c r="F29" s="20"/>
      <c r="G29" s="20"/>
      <c r="H29" s="20"/>
      <c r="K29" s="21"/>
      <c r="L29" t="str">
        <f t="shared" ref="L29:L51" ca="1" si="8">IF(C29="","",IF(K29&gt;=1,"Complete",IF(TODAY()&lt;E29,"Not Started",IF(K29&gt;=NETWORKDAYS.INTL(E29,MIN(TODAY(),G29),"0001111")/NETWORKDAYS.INTL(E29,G29,"0001111"),"On Track","Behind"))))</f>
        <v/>
      </c>
      <c r="O29" s="31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Q29" s="35"/>
      <c r="BR29" s="35"/>
      <c r="BS29" s="35"/>
      <c r="BT29" s="35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35"/>
      <c r="CT29" s="35"/>
      <c r="CU29" s="35"/>
      <c r="CV29" s="35"/>
      <c r="CW29" s="35"/>
      <c r="CX29" s="35"/>
      <c r="CY29" s="35"/>
      <c r="CZ29" s="35"/>
      <c r="DA29" s="35"/>
      <c r="DB29" s="35"/>
      <c r="DC29" s="35"/>
      <c r="DD29" s="35"/>
      <c r="DE29" s="35"/>
      <c r="DF29" s="35"/>
      <c r="DG29" s="35"/>
      <c r="DH29" s="35"/>
      <c r="DI29" s="35"/>
      <c r="DJ29" s="35"/>
      <c r="DK29" s="35"/>
      <c r="DL29" s="35"/>
      <c r="DM29" s="35"/>
      <c r="DN29" s="35"/>
      <c r="DO29" t="str">
        <f t="shared" si="6"/>
        <v/>
      </c>
    </row>
    <row r="30" spans="1:119" ht="18.95" customHeight="1" x14ac:dyDescent="0.25">
      <c r="E30" s="20"/>
      <c r="F30" s="20"/>
      <c r="G30" s="20"/>
      <c r="H30" s="20"/>
      <c r="K30" s="21"/>
      <c r="L30" t="str">
        <f t="shared" ca="1" si="8"/>
        <v/>
      </c>
      <c r="O30" s="23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35"/>
      <c r="CQ30" s="35"/>
      <c r="CR30" s="35"/>
      <c r="CS30" s="35"/>
      <c r="CT30" s="35"/>
      <c r="CU30" s="35"/>
      <c r="CV30" s="35"/>
      <c r="CW30" s="35"/>
      <c r="CX30" s="35"/>
      <c r="CY30" s="35"/>
      <c r="CZ30" s="35"/>
      <c r="DA30" s="35"/>
      <c r="DB30" s="35"/>
      <c r="DC30" s="35"/>
      <c r="DD30" s="35"/>
      <c r="DE30" s="35"/>
      <c r="DF30" s="35"/>
      <c r="DG30" s="35"/>
      <c r="DH30" s="35"/>
      <c r="DI30" s="35"/>
      <c r="DJ30" s="35"/>
      <c r="DK30" s="35"/>
      <c r="DL30" s="35"/>
      <c r="DM30" s="35"/>
      <c r="DN30" s="35"/>
      <c r="DO30" t="str">
        <f t="shared" si="6"/>
        <v/>
      </c>
    </row>
    <row r="31" spans="1:119" ht="18.95" customHeight="1" x14ac:dyDescent="0.25">
      <c r="E31" s="20"/>
      <c r="F31" s="20"/>
      <c r="G31" s="20"/>
      <c r="H31" s="20"/>
      <c r="K31" s="21"/>
      <c r="L31" t="str">
        <f t="shared" ca="1" si="8"/>
        <v/>
      </c>
      <c r="O31" s="31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X31" s="35"/>
      <c r="CY31" s="35"/>
      <c r="CZ31" s="35"/>
      <c r="DA31" s="35"/>
      <c r="DB31" s="35"/>
      <c r="DC31" s="35"/>
      <c r="DD31" s="35"/>
      <c r="DE31" s="35"/>
      <c r="DF31" s="35"/>
      <c r="DG31" s="35"/>
      <c r="DH31" s="35"/>
      <c r="DI31" s="35"/>
      <c r="DJ31" s="35"/>
      <c r="DK31" s="35"/>
      <c r="DL31" s="35"/>
      <c r="DM31" s="35"/>
      <c r="DN31" s="35"/>
      <c r="DO31" t="str">
        <f t="shared" si="6"/>
        <v/>
      </c>
    </row>
    <row r="32" spans="1:119" ht="18.95" customHeight="1" x14ac:dyDescent="0.25">
      <c r="E32" s="20"/>
      <c r="F32" s="20"/>
      <c r="G32" s="20"/>
      <c r="H32" s="20"/>
      <c r="K32" s="21"/>
      <c r="L32" t="str">
        <f t="shared" ca="1" si="8"/>
        <v/>
      </c>
      <c r="O32" s="23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Q32" s="35"/>
      <c r="BR32" s="35"/>
      <c r="BS32" s="35"/>
      <c r="BT32" s="35"/>
      <c r="BU32" s="35"/>
      <c r="BV32" s="35"/>
      <c r="BW32" s="35"/>
      <c r="BX32" s="35"/>
      <c r="BY32" s="35"/>
      <c r="BZ32" s="35"/>
      <c r="CA32" s="35"/>
      <c r="CB32" s="35"/>
      <c r="CC32" s="35"/>
      <c r="CD32" s="35"/>
      <c r="CE32" s="35"/>
      <c r="CF32" s="35"/>
      <c r="CG32" s="35"/>
      <c r="CH32" s="35"/>
      <c r="CI32" s="35"/>
      <c r="CJ32" s="35"/>
      <c r="CK32" s="35"/>
      <c r="CL32" s="35"/>
      <c r="CM32" s="35"/>
      <c r="CN32" s="35"/>
      <c r="CO32" s="35"/>
      <c r="CP32" s="35"/>
      <c r="CQ32" s="35"/>
      <c r="CR32" s="35"/>
      <c r="CS32" s="35"/>
      <c r="CT32" s="35"/>
      <c r="CU32" s="35"/>
      <c r="CV32" s="35"/>
      <c r="CW32" s="35"/>
      <c r="CX32" s="35"/>
      <c r="CY32" s="35"/>
      <c r="CZ32" s="35"/>
      <c r="DA32" s="35"/>
      <c r="DB32" s="35"/>
      <c r="DC32" s="35"/>
      <c r="DD32" s="35"/>
      <c r="DE32" s="35"/>
      <c r="DF32" s="35"/>
      <c r="DG32" s="35"/>
      <c r="DH32" s="35"/>
      <c r="DI32" s="35"/>
      <c r="DJ32" s="35"/>
      <c r="DK32" s="35"/>
      <c r="DL32" s="35"/>
      <c r="DM32" s="35"/>
      <c r="DN32" s="35"/>
      <c r="DO32" t="str">
        <f t="shared" ref="DO32:DO63" si="9">IF(C32="","",IF(L32="Complete",1,0))</f>
        <v/>
      </c>
    </row>
    <row r="33" spans="5:119" ht="18.95" customHeight="1" x14ac:dyDescent="0.25">
      <c r="E33" s="20"/>
      <c r="F33" s="20"/>
      <c r="G33" s="20"/>
      <c r="H33" s="20"/>
      <c r="K33" s="21"/>
      <c r="L33" t="str">
        <f t="shared" ca="1" si="8"/>
        <v/>
      </c>
      <c r="O33" s="31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Q33" s="35"/>
      <c r="BR33" s="35"/>
      <c r="BS33" s="35"/>
      <c r="BT33" s="35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X33" s="35"/>
      <c r="CY33" s="35"/>
      <c r="CZ33" s="35"/>
      <c r="DA33" s="35"/>
      <c r="DB33" s="35"/>
      <c r="DC33" s="35"/>
      <c r="DD33" s="35"/>
      <c r="DE33" s="35"/>
      <c r="DF33" s="35"/>
      <c r="DG33" s="35"/>
      <c r="DH33" s="35"/>
      <c r="DI33" s="35"/>
      <c r="DJ33" s="35"/>
      <c r="DK33" s="35"/>
      <c r="DL33" s="35"/>
      <c r="DM33" s="35"/>
      <c r="DN33" s="35"/>
      <c r="DO33" t="str">
        <f t="shared" si="9"/>
        <v/>
      </c>
    </row>
    <row r="34" spans="5:119" ht="18.95" customHeight="1" x14ac:dyDescent="0.25">
      <c r="E34" s="20"/>
      <c r="F34" s="20"/>
      <c r="G34" s="20"/>
      <c r="H34" s="20"/>
      <c r="K34" s="21"/>
      <c r="L34" t="str">
        <f t="shared" ca="1" si="8"/>
        <v/>
      </c>
      <c r="O34" s="23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X34" s="35"/>
      <c r="BY34" s="35"/>
      <c r="BZ34" s="35"/>
      <c r="CA34" s="35"/>
      <c r="CB34" s="35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  <c r="CX34" s="35"/>
      <c r="CY34" s="35"/>
      <c r="CZ34" s="35"/>
      <c r="DA34" s="35"/>
      <c r="DB34" s="35"/>
      <c r="DC34" s="35"/>
      <c r="DD34" s="35"/>
      <c r="DE34" s="35"/>
      <c r="DF34" s="35"/>
      <c r="DG34" s="35"/>
      <c r="DH34" s="35"/>
      <c r="DI34" s="35"/>
      <c r="DJ34" s="35"/>
      <c r="DK34" s="35"/>
      <c r="DL34" s="35"/>
      <c r="DM34" s="35"/>
      <c r="DN34" s="35"/>
      <c r="DO34" t="str">
        <f t="shared" si="9"/>
        <v/>
      </c>
    </row>
    <row r="35" spans="5:119" ht="18.95" customHeight="1" x14ac:dyDescent="0.25">
      <c r="E35" s="20"/>
      <c r="F35" s="20"/>
      <c r="G35" s="20"/>
      <c r="H35" s="20"/>
      <c r="K35" s="21"/>
      <c r="L35" t="str">
        <f t="shared" ca="1" si="8"/>
        <v/>
      </c>
      <c r="O35" s="31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  <c r="BN35" s="35"/>
      <c r="BO35" s="35"/>
      <c r="BP35" s="35"/>
      <c r="BQ35" s="35"/>
      <c r="BR35" s="35"/>
      <c r="BS35" s="35"/>
      <c r="BT35" s="35"/>
      <c r="BU35" s="35"/>
      <c r="BV35" s="35"/>
      <c r="BW35" s="35"/>
      <c r="BX35" s="35"/>
      <c r="BY35" s="35"/>
      <c r="BZ35" s="35"/>
      <c r="CA35" s="35"/>
      <c r="CB35" s="35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  <c r="CX35" s="35"/>
      <c r="CY35" s="35"/>
      <c r="CZ35" s="35"/>
      <c r="DA35" s="35"/>
      <c r="DB35" s="35"/>
      <c r="DC35" s="35"/>
      <c r="DD35" s="35"/>
      <c r="DE35" s="35"/>
      <c r="DF35" s="35"/>
      <c r="DG35" s="35"/>
      <c r="DH35" s="35"/>
      <c r="DI35" s="35"/>
      <c r="DJ35" s="35"/>
      <c r="DK35" s="35"/>
      <c r="DL35" s="35"/>
      <c r="DM35" s="35"/>
      <c r="DN35" s="35"/>
      <c r="DO35" t="str">
        <f t="shared" si="9"/>
        <v/>
      </c>
    </row>
    <row r="36" spans="5:119" ht="18.95" customHeight="1" x14ac:dyDescent="0.25">
      <c r="E36" s="20"/>
      <c r="F36" s="20"/>
      <c r="G36" s="20"/>
      <c r="H36" s="20"/>
      <c r="K36" s="21"/>
      <c r="L36" t="str">
        <f t="shared" ca="1" si="8"/>
        <v/>
      </c>
      <c r="O36" s="23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5"/>
      <c r="BM36" s="35"/>
      <c r="BN36" s="35"/>
      <c r="BO36" s="35"/>
      <c r="BP36" s="35"/>
      <c r="BQ36" s="35"/>
      <c r="BR36" s="35"/>
      <c r="BS36" s="35"/>
      <c r="BT36" s="35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  <c r="CX36" s="35"/>
      <c r="CY36" s="35"/>
      <c r="CZ36" s="35"/>
      <c r="DA36" s="35"/>
      <c r="DB36" s="35"/>
      <c r="DC36" s="35"/>
      <c r="DD36" s="35"/>
      <c r="DE36" s="35"/>
      <c r="DF36" s="35"/>
      <c r="DG36" s="35"/>
      <c r="DH36" s="35"/>
      <c r="DI36" s="35"/>
      <c r="DJ36" s="35"/>
      <c r="DK36" s="35"/>
      <c r="DL36" s="35"/>
      <c r="DM36" s="35"/>
      <c r="DN36" s="35"/>
      <c r="DO36" t="str">
        <f t="shared" si="9"/>
        <v/>
      </c>
    </row>
    <row r="37" spans="5:119" ht="18.95" customHeight="1" x14ac:dyDescent="0.25">
      <c r="E37" s="20"/>
      <c r="F37" s="20"/>
      <c r="G37" s="20"/>
      <c r="H37" s="20"/>
      <c r="K37" s="21"/>
      <c r="L37" t="str">
        <f t="shared" ca="1" si="8"/>
        <v/>
      </c>
      <c r="O37" s="31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  <c r="CX37" s="35"/>
      <c r="CY37" s="35"/>
      <c r="CZ37" s="35"/>
      <c r="DA37" s="35"/>
      <c r="DB37" s="35"/>
      <c r="DC37" s="35"/>
      <c r="DD37" s="35"/>
      <c r="DE37" s="35"/>
      <c r="DF37" s="35"/>
      <c r="DG37" s="35"/>
      <c r="DH37" s="35"/>
      <c r="DI37" s="35"/>
      <c r="DJ37" s="35"/>
      <c r="DK37" s="35"/>
      <c r="DL37" s="35"/>
      <c r="DM37" s="35"/>
      <c r="DN37" s="35"/>
      <c r="DO37" t="str">
        <f t="shared" si="9"/>
        <v/>
      </c>
    </row>
    <row r="38" spans="5:119" ht="18.95" customHeight="1" x14ac:dyDescent="0.25">
      <c r="E38" s="20"/>
      <c r="F38" s="20"/>
      <c r="G38" s="20"/>
      <c r="H38" s="20"/>
      <c r="K38" s="21"/>
      <c r="L38" t="str">
        <f t="shared" ca="1" si="8"/>
        <v/>
      </c>
      <c r="O38" s="23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5"/>
      <c r="BM38" s="35"/>
      <c r="BN38" s="35"/>
      <c r="BO38" s="35"/>
      <c r="BP38" s="35"/>
      <c r="BQ38" s="35"/>
      <c r="BR38" s="35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35"/>
      <c r="CD38" s="35"/>
      <c r="CE38" s="35"/>
      <c r="CF38" s="35"/>
      <c r="CG38" s="35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35"/>
      <c r="CT38" s="35"/>
      <c r="CU38" s="35"/>
      <c r="CV38" s="35"/>
      <c r="CW38" s="35"/>
      <c r="CX38" s="35"/>
      <c r="CY38" s="35"/>
      <c r="CZ38" s="35"/>
      <c r="DA38" s="35"/>
      <c r="DB38" s="35"/>
      <c r="DC38" s="35"/>
      <c r="DD38" s="35"/>
      <c r="DE38" s="35"/>
      <c r="DF38" s="35"/>
      <c r="DG38" s="35"/>
      <c r="DH38" s="35"/>
      <c r="DI38" s="35"/>
      <c r="DJ38" s="35"/>
      <c r="DK38" s="35"/>
      <c r="DL38" s="35"/>
      <c r="DM38" s="35"/>
      <c r="DN38" s="35"/>
      <c r="DO38" t="str">
        <f t="shared" si="9"/>
        <v/>
      </c>
    </row>
    <row r="39" spans="5:119" ht="18.95" customHeight="1" x14ac:dyDescent="0.25">
      <c r="E39" s="20"/>
      <c r="F39" s="20"/>
      <c r="G39" s="20"/>
      <c r="H39" s="20"/>
      <c r="K39" s="21"/>
      <c r="L39" t="str">
        <f t="shared" ca="1" si="8"/>
        <v/>
      </c>
      <c r="O39" s="31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5"/>
      <c r="BM39" s="35"/>
      <c r="BN39" s="35"/>
      <c r="BO39" s="35"/>
      <c r="BP39" s="35"/>
      <c r="BQ39" s="35"/>
      <c r="BR39" s="35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35"/>
      <c r="CD39" s="35"/>
      <c r="CE39" s="35"/>
      <c r="CF39" s="35"/>
      <c r="CG39" s="35"/>
      <c r="CH39" s="35"/>
      <c r="CI39" s="35"/>
      <c r="CJ39" s="35"/>
      <c r="CK39" s="35"/>
      <c r="CL39" s="35"/>
      <c r="CM39" s="35"/>
      <c r="CN39" s="35"/>
      <c r="CO39" s="35"/>
      <c r="CP39" s="35"/>
      <c r="CQ39" s="35"/>
      <c r="CR39" s="35"/>
      <c r="CS39" s="35"/>
      <c r="CT39" s="35"/>
      <c r="CU39" s="35"/>
      <c r="CV39" s="35"/>
      <c r="CW39" s="35"/>
      <c r="CX39" s="35"/>
      <c r="CY39" s="35"/>
      <c r="CZ39" s="35"/>
      <c r="DA39" s="35"/>
      <c r="DB39" s="35"/>
      <c r="DC39" s="35"/>
      <c r="DD39" s="35"/>
      <c r="DE39" s="35"/>
      <c r="DF39" s="35"/>
      <c r="DG39" s="35"/>
      <c r="DH39" s="35"/>
      <c r="DI39" s="35"/>
      <c r="DJ39" s="35"/>
      <c r="DK39" s="35"/>
      <c r="DL39" s="35"/>
      <c r="DM39" s="35"/>
      <c r="DN39" s="35"/>
      <c r="DO39" t="str">
        <f t="shared" si="9"/>
        <v/>
      </c>
    </row>
    <row r="40" spans="5:119" ht="18.95" customHeight="1" x14ac:dyDescent="0.25">
      <c r="E40" s="20"/>
      <c r="F40" s="20"/>
      <c r="G40" s="20"/>
      <c r="H40" s="20"/>
      <c r="K40" s="21"/>
      <c r="L40" t="str">
        <f t="shared" ca="1" si="8"/>
        <v/>
      </c>
      <c r="O40" s="23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  <c r="CD40" s="35"/>
      <c r="CE40" s="35"/>
      <c r="CF40" s="35"/>
      <c r="CG40" s="35"/>
      <c r="CH40" s="35"/>
      <c r="CI40" s="35"/>
      <c r="CJ40" s="35"/>
      <c r="CK40" s="35"/>
      <c r="CL40" s="35"/>
      <c r="CM40" s="35"/>
      <c r="CN40" s="35"/>
      <c r="CO40" s="35"/>
      <c r="CP40" s="35"/>
      <c r="CQ40" s="35"/>
      <c r="CR40" s="35"/>
      <c r="CS40" s="35"/>
      <c r="CT40" s="35"/>
      <c r="CU40" s="35"/>
      <c r="CV40" s="35"/>
      <c r="CW40" s="35"/>
      <c r="CX40" s="35"/>
      <c r="CY40" s="35"/>
      <c r="CZ40" s="35"/>
      <c r="DA40" s="35"/>
      <c r="DB40" s="35"/>
      <c r="DC40" s="35"/>
      <c r="DD40" s="35"/>
      <c r="DE40" s="35"/>
      <c r="DF40" s="35"/>
      <c r="DG40" s="35"/>
      <c r="DH40" s="35"/>
      <c r="DI40" s="35"/>
      <c r="DJ40" s="35"/>
      <c r="DK40" s="35"/>
      <c r="DL40" s="35"/>
      <c r="DM40" s="35"/>
      <c r="DN40" s="35"/>
      <c r="DO40" t="str">
        <f t="shared" si="9"/>
        <v/>
      </c>
    </row>
    <row r="41" spans="5:119" ht="18.95" customHeight="1" x14ac:dyDescent="0.25">
      <c r="E41" s="20"/>
      <c r="F41" s="20"/>
      <c r="G41" s="20"/>
      <c r="H41" s="20"/>
      <c r="K41" s="21"/>
      <c r="L41" t="str">
        <f t="shared" ca="1" si="8"/>
        <v/>
      </c>
      <c r="O41" s="31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5"/>
      <c r="BM41" s="35"/>
      <c r="BN41" s="35"/>
      <c r="BO41" s="35"/>
      <c r="BP41" s="35"/>
      <c r="BQ41" s="35"/>
      <c r="BR41" s="35"/>
      <c r="BS41" s="35"/>
      <c r="BT41" s="35"/>
      <c r="BU41" s="35"/>
      <c r="BV41" s="35"/>
      <c r="BW41" s="35"/>
      <c r="BX41" s="35"/>
      <c r="BY41" s="35"/>
      <c r="BZ41" s="35"/>
      <c r="CA41" s="35"/>
      <c r="CB41" s="35"/>
      <c r="CC41" s="35"/>
      <c r="CD41" s="35"/>
      <c r="CE41" s="35"/>
      <c r="CF41" s="35"/>
      <c r="CG41" s="35"/>
      <c r="CH41" s="35"/>
      <c r="CI41" s="35"/>
      <c r="CJ41" s="35"/>
      <c r="CK41" s="35"/>
      <c r="CL41" s="35"/>
      <c r="CM41" s="35"/>
      <c r="CN41" s="35"/>
      <c r="CO41" s="35"/>
      <c r="CP41" s="35"/>
      <c r="CQ41" s="35"/>
      <c r="CR41" s="35"/>
      <c r="CS41" s="35"/>
      <c r="CT41" s="35"/>
      <c r="CU41" s="35"/>
      <c r="CV41" s="35"/>
      <c r="CW41" s="35"/>
      <c r="CX41" s="35"/>
      <c r="CY41" s="35"/>
      <c r="CZ41" s="35"/>
      <c r="DA41" s="35"/>
      <c r="DB41" s="35"/>
      <c r="DC41" s="35"/>
      <c r="DD41" s="35"/>
      <c r="DE41" s="35"/>
      <c r="DF41" s="35"/>
      <c r="DG41" s="35"/>
      <c r="DH41" s="35"/>
      <c r="DI41" s="35"/>
      <c r="DJ41" s="35"/>
      <c r="DK41" s="35"/>
      <c r="DL41" s="35"/>
      <c r="DM41" s="35"/>
      <c r="DN41" s="35"/>
      <c r="DO41" t="str">
        <f t="shared" si="9"/>
        <v/>
      </c>
    </row>
    <row r="42" spans="5:119" ht="18.95" customHeight="1" x14ac:dyDescent="0.25">
      <c r="E42" s="20"/>
      <c r="F42" s="20"/>
      <c r="G42" s="20"/>
      <c r="H42" s="20"/>
      <c r="K42" s="21"/>
      <c r="L42" t="str">
        <f t="shared" ca="1" si="8"/>
        <v/>
      </c>
      <c r="O42" s="23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/>
      <c r="CD42" s="35"/>
      <c r="CE42" s="35"/>
      <c r="CF42" s="35"/>
      <c r="CG42" s="35"/>
      <c r="CH42" s="35"/>
      <c r="CI42" s="35"/>
      <c r="CJ42" s="35"/>
      <c r="CK42" s="35"/>
      <c r="CL42" s="35"/>
      <c r="CM42" s="35"/>
      <c r="CN42" s="35"/>
      <c r="CO42" s="35"/>
      <c r="CP42" s="35"/>
      <c r="CQ42" s="35"/>
      <c r="CR42" s="35"/>
      <c r="CS42" s="35"/>
      <c r="CT42" s="35"/>
      <c r="CU42" s="35"/>
      <c r="CV42" s="35"/>
      <c r="CW42" s="35"/>
      <c r="CX42" s="35"/>
      <c r="CY42" s="35"/>
      <c r="CZ42" s="35"/>
      <c r="DA42" s="35"/>
      <c r="DB42" s="35"/>
      <c r="DC42" s="35"/>
      <c r="DD42" s="35"/>
      <c r="DE42" s="35"/>
      <c r="DF42" s="35"/>
      <c r="DG42" s="35"/>
      <c r="DH42" s="35"/>
      <c r="DI42" s="35"/>
      <c r="DJ42" s="35"/>
      <c r="DK42" s="35"/>
      <c r="DL42" s="35"/>
      <c r="DM42" s="35"/>
      <c r="DN42" s="35"/>
      <c r="DO42" t="str">
        <f t="shared" si="9"/>
        <v/>
      </c>
    </row>
    <row r="43" spans="5:119" ht="18.95" customHeight="1" x14ac:dyDescent="0.25">
      <c r="E43" s="20"/>
      <c r="F43" s="20"/>
      <c r="G43" s="20"/>
      <c r="H43" s="20"/>
      <c r="K43" s="21"/>
      <c r="L43" t="str">
        <f t="shared" ca="1" si="8"/>
        <v/>
      </c>
      <c r="O43" s="31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35"/>
      <c r="CD43" s="35"/>
      <c r="CE43" s="35"/>
      <c r="CF43" s="35"/>
      <c r="CG43" s="35"/>
      <c r="CH43" s="35"/>
      <c r="CI43" s="35"/>
      <c r="CJ43" s="35"/>
      <c r="CK43" s="35"/>
      <c r="CL43" s="35"/>
      <c r="CM43" s="35"/>
      <c r="CN43" s="35"/>
      <c r="CO43" s="35"/>
      <c r="CP43" s="35"/>
      <c r="CQ43" s="35"/>
      <c r="CR43" s="35"/>
      <c r="CS43" s="35"/>
      <c r="CT43" s="35"/>
      <c r="CU43" s="35"/>
      <c r="CV43" s="35"/>
      <c r="CW43" s="35"/>
      <c r="CX43" s="35"/>
      <c r="CY43" s="35"/>
      <c r="CZ43" s="35"/>
      <c r="DA43" s="35"/>
      <c r="DB43" s="35"/>
      <c r="DC43" s="35"/>
      <c r="DD43" s="35"/>
      <c r="DE43" s="35"/>
      <c r="DF43" s="35"/>
      <c r="DG43" s="35"/>
      <c r="DH43" s="35"/>
      <c r="DI43" s="35"/>
      <c r="DJ43" s="35"/>
      <c r="DK43" s="35"/>
      <c r="DL43" s="35"/>
      <c r="DM43" s="35"/>
      <c r="DN43" s="35"/>
      <c r="DO43" t="str">
        <f t="shared" si="9"/>
        <v/>
      </c>
    </row>
    <row r="44" spans="5:119" ht="18.95" customHeight="1" x14ac:dyDescent="0.25">
      <c r="E44" s="20"/>
      <c r="F44" s="20"/>
      <c r="G44" s="20"/>
      <c r="H44" s="20"/>
      <c r="K44" s="21"/>
      <c r="L44" t="str">
        <f t="shared" ca="1" si="8"/>
        <v/>
      </c>
      <c r="O44" s="23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5"/>
      <c r="BM44" s="35"/>
      <c r="BN44" s="35"/>
      <c r="BO44" s="35"/>
      <c r="BP44" s="35"/>
      <c r="BQ44" s="35"/>
      <c r="BR44" s="35"/>
      <c r="BS44" s="35"/>
      <c r="BT44" s="35"/>
      <c r="BU44" s="35"/>
      <c r="BV44" s="35"/>
      <c r="BW44" s="35"/>
      <c r="BX44" s="35"/>
      <c r="BY44" s="35"/>
      <c r="BZ44" s="35"/>
      <c r="CA44" s="35"/>
      <c r="CB44" s="35"/>
      <c r="CC44" s="35"/>
      <c r="CD44" s="35"/>
      <c r="CE44" s="35"/>
      <c r="CF44" s="35"/>
      <c r="CG44" s="35"/>
      <c r="CH44" s="35"/>
      <c r="CI44" s="35"/>
      <c r="CJ44" s="35"/>
      <c r="CK44" s="35"/>
      <c r="CL44" s="35"/>
      <c r="CM44" s="35"/>
      <c r="CN44" s="35"/>
      <c r="CO44" s="35"/>
      <c r="CP44" s="35"/>
      <c r="CQ44" s="35"/>
      <c r="CR44" s="35"/>
      <c r="CS44" s="35"/>
      <c r="CT44" s="35"/>
      <c r="CU44" s="35"/>
      <c r="CV44" s="35"/>
      <c r="CW44" s="35"/>
      <c r="CX44" s="35"/>
      <c r="CY44" s="35"/>
      <c r="CZ44" s="35"/>
      <c r="DA44" s="35"/>
      <c r="DB44" s="35"/>
      <c r="DC44" s="35"/>
      <c r="DD44" s="35"/>
      <c r="DE44" s="35"/>
      <c r="DF44" s="35"/>
      <c r="DG44" s="35"/>
      <c r="DH44" s="35"/>
      <c r="DI44" s="35"/>
      <c r="DJ44" s="35"/>
      <c r="DK44" s="35"/>
      <c r="DL44" s="35"/>
      <c r="DM44" s="35"/>
      <c r="DN44" s="35"/>
      <c r="DO44" t="str">
        <f t="shared" si="9"/>
        <v/>
      </c>
    </row>
    <row r="45" spans="5:119" ht="18.95" customHeight="1" x14ac:dyDescent="0.25">
      <c r="E45" s="20"/>
      <c r="F45" s="20"/>
      <c r="G45" s="20"/>
      <c r="H45" s="20"/>
      <c r="K45" s="21"/>
      <c r="L45" t="str">
        <f t="shared" ca="1" si="8"/>
        <v/>
      </c>
      <c r="O45" s="31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35"/>
      <c r="CT45" s="35"/>
      <c r="CU45" s="35"/>
      <c r="CV45" s="35"/>
      <c r="CW45" s="35"/>
      <c r="CX45" s="35"/>
      <c r="CY45" s="35"/>
      <c r="CZ45" s="35"/>
      <c r="DA45" s="35"/>
      <c r="DB45" s="35"/>
      <c r="DC45" s="35"/>
      <c r="DD45" s="35"/>
      <c r="DE45" s="35"/>
      <c r="DF45" s="35"/>
      <c r="DG45" s="35"/>
      <c r="DH45" s="35"/>
      <c r="DI45" s="35"/>
      <c r="DJ45" s="35"/>
      <c r="DK45" s="35"/>
      <c r="DL45" s="35"/>
      <c r="DM45" s="35"/>
      <c r="DN45" s="35"/>
      <c r="DO45" t="str">
        <f t="shared" si="9"/>
        <v/>
      </c>
    </row>
    <row r="46" spans="5:119" ht="18.95" customHeight="1" x14ac:dyDescent="0.25">
      <c r="E46" s="20"/>
      <c r="F46" s="20"/>
      <c r="G46" s="20"/>
      <c r="H46" s="20"/>
      <c r="K46" s="21"/>
      <c r="L46" t="str">
        <f t="shared" ca="1" si="8"/>
        <v/>
      </c>
      <c r="O46" s="23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  <c r="BN46" s="35"/>
      <c r="BO46" s="35"/>
      <c r="BP46" s="35"/>
      <c r="BQ46" s="35"/>
      <c r="BR46" s="35"/>
      <c r="BS46" s="35"/>
      <c r="BT46" s="35"/>
      <c r="BU46" s="35"/>
      <c r="BV46" s="35"/>
      <c r="BW46" s="35"/>
      <c r="BX46" s="35"/>
      <c r="BY46" s="35"/>
      <c r="BZ46" s="35"/>
      <c r="CA46" s="35"/>
      <c r="CB46" s="35"/>
      <c r="CC46" s="35"/>
      <c r="CD46" s="35"/>
      <c r="CE46" s="35"/>
      <c r="CF46" s="35"/>
      <c r="CG46" s="35"/>
      <c r="CH46" s="35"/>
      <c r="CI46" s="35"/>
      <c r="CJ46" s="35"/>
      <c r="CK46" s="35"/>
      <c r="CL46" s="35"/>
      <c r="CM46" s="35"/>
      <c r="CN46" s="35"/>
      <c r="CO46" s="35"/>
      <c r="CP46" s="35"/>
      <c r="CQ46" s="35"/>
      <c r="CR46" s="35"/>
      <c r="CS46" s="35"/>
      <c r="CT46" s="35"/>
      <c r="CU46" s="35"/>
      <c r="CV46" s="35"/>
      <c r="CW46" s="35"/>
      <c r="CX46" s="35"/>
      <c r="CY46" s="35"/>
      <c r="CZ46" s="35"/>
      <c r="DA46" s="35"/>
      <c r="DB46" s="35"/>
      <c r="DC46" s="35"/>
      <c r="DD46" s="35"/>
      <c r="DE46" s="35"/>
      <c r="DF46" s="35"/>
      <c r="DG46" s="35"/>
      <c r="DH46" s="35"/>
      <c r="DI46" s="35"/>
      <c r="DJ46" s="35"/>
      <c r="DK46" s="35"/>
      <c r="DL46" s="35"/>
      <c r="DM46" s="35"/>
      <c r="DN46" s="35"/>
      <c r="DO46" t="str">
        <f t="shared" si="9"/>
        <v/>
      </c>
    </row>
    <row r="47" spans="5:119" ht="18.95" customHeight="1" x14ac:dyDescent="0.25">
      <c r="E47" s="20"/>
      <c r="F47" s="20"/>
      <c r="G47" s="20"/>
      <c r="H47" s="20"/>
      <c r="K47" s="21"/>
      <c r="L47" t="str">
        <f t="shared" ca="1" si="8"/>
        <v/>
      </c>
      <c r="O47" s="31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35"/>
      <c r="CF47" s="35"/>
      <c r="CG47" s="35"/>
      <c r="CH47" s="35"/>
      <c r="CI47" s="35"/>
      <c r="CJ47" s="35"/>
      <c r="CK47" s="35"/>
      <c r="CL47" s="35"/>
      <c r="CM47" s="35"/>
      <c r="CN47" s="35"/>
      <c r="CO47" s="35"/>
      <c r="CP47" s="35"/>
      <c r="CQ47" s="35"/>
      <c r="CR47" s="35"/>
      <c r="CS47" s="35"/>
      <c r="CT47" s="35"/>
      <c r="CU47" s="35"/>
      <c r="CV47" s="35"/>
      <c r="CW47" s="35"/>
      <c r="CX47" s="35"/>
      <c r="CY47" s="35"/>
      <c r="CZ47" s="35"/>
      <c r="DA47" s="35"/>
      <c r="DB47" s="35"/>
      <c r="DC47" s="35"/>
      <c r="DD47" s="35"/>
      <c r="DE47" s="35"/>
      <c r="DF47" s="35"/>
      <c r="DG47" s="35"/>
      <c r="DH47" s="35"/>
      <c r="DI47" s="35"/>
      <c r="DJ47" s="35"/>
      <c r="DK47" s="35"/>
      <c r="DL47" s="35"/>
      <c r="DM47" s="35"/>
      <c r="DN47" s="35"/>
      <c r="DO47" t="str">
        <f t="shared" si="9"/>
        <v/>
      </c>
    </row>
    <row r="48" spans="5:119" ht="18.95" customHeight="1" x14ac:dyDescent="0.25">
      <c r="E48" s="20"/>
      <c r="F48" s="20"/>
      <c r="G48" s="20"/>
      <c r="H48" s="20"/>
      <c r="K48" s="21"/>
      <c r="L48" t="str">
        <f t="shared" ca="1" si="8"/>
        <v/>
      </c>
      <c r="O48" s="23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35"/>
      <c r="DN48" s="35"/>
      <c r="DO48" t="str">
        <f t="shared" si="9"/>
        <v/>
      </c>
    </row>
    <row r="49" spans="5:119" ht="18.95" customHeight="1" x14ac:dyDescent="0.25">
      <c r="E49" s="20"/>
      <c r="F49" s="20"/>
      <c r="G49" s="20"/>
      <c r="H49" s="20"/>
      <c r="K49" s="21"/>
      <c r="L49" t="str">
        <f t="shared" ca="1" si="8"/>
        <v/>
      </c>
      <c r="O49" s="31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5"/>
      <c r="BZ49" s="35"/>
      <c r="CA49" s="35"/>
      <c r="CB49" s="35"/>
      <c r="CC49" s="35"/>
      <c r="CD49" s="35"/>
      <c r="CE49" s="35"/>
      <c r="CF49" s="35"/>
      <c r="CG49" s="35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35"/>
      <c r="CT49" s="35"/>
      <c r="CU49" s="35"/>
      <c r="CV49" s="35"/>
      <c r="CW49" s="35"/>
      <c r="CX49" s="35"/>
      <c r="CY49" s="35"/>
      <c r="CZ49" s="35"/>
      <c r="DA49" s="35"/>
      <c r="DB49" s="35"/>
      <c r="DC49" s="35"/>
      <c r="DD49" s="35"/>
      <c r="DE49" s="35"/>
      <c r="DF49" s="35"/>
      <c r="DG49" s="35"/>
      <c r="DH49" s="35"/>
      <c r="DI49" s="35"/>
      <c r="DJ49" s="35"/>
      <c r="DK49" s="35"/>
      <c r="DL49" s="35"/>
      <c r="DM49" s="35"/>
      <c r="DN49" s="35"/>
      <c r="DO49" t="str">
        <f t="shared" si="9"/>
        <v/>
      </c>
    </row>
    <row r="50" spans="5:119" ht="18.95" customHeight="1" x14ac:dyDescent="0.25">
      <c r="E50" s="20"/>
      <c r="F50" s="20"/>
      <c r="G50" s="20"/>
      <c r="H50" s="20"/>
      <c r="K50" s="21"/>
      <c r="L50" t="str">
        <f t="shared" ca="1" si="8"/>
        <v/>
      </c>
      <c r="O50" s="23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35"/>
      <c r="CF50" s="35"/>
      <c r="CG50" s="35"/>
      <c r="CH50" s="35"/>
      <c r="CI50" s="35"/>
      <c r="CJ50" s="35"/>
      <c r="CK50" s="35"/>
      <c r="CL50" s="35"/>
      <c r="CM50" s="35"/>
      <c r="CN50" s="35"/>
      <c r="CO50" s="35"/>
      <c r="CP50" s="35"/>
      <c r="CQ50" s="35"/>
      <c r="CR50" s="35"/>
      <c r="CS50" s="35"/>
      <c r="CT50" s="35"/>
      <c r="CU50" s="35"/>
      <c r="CV50" s="35"/>
      <c r="CW50" s="35"/>
      <c r="CX50" s="35"/>
      <c r="CY50" s="35"/>
      <c r="CZ50" s="35"/>
      <c r="DA50" s="35"/>
      <c r="DB50" s="35"/>
      <c r="DC50" s="35"/>
      <c r="DD50" s="35"/>
      <c r="DE50" s="35"/>
      <c r="DF50" s="35"/>
      <c r="DG50" s="35"/>
      <c r="DH50" s="35"/>
      <c r="DI50" s="35"/>
      <c r="DJ50" s="35"/>
      <c r="DK50" s="35"/>
      <c r="DL50" s="35"/>
      <c r="DM50" s="35"/>
      <c r="DN50" s="35"/>
      <c r="DO50" t="str">
        <f t="shared" si="9"/>
        <v/>
      </c>
    </row>
    <row r="51" spans="5:119" ht="18.95" customHeight="1" x14ac:dyDescent="0.25">
      <c r="E51" s="20"/>
      <c r="F51" s="20"/>
      <c r="G51" s="20"/>
      <c r="H51" s="20"/>
      <c r="K51" s="21"/>
      <c r="L51" t="str">
        <f t="shared" ca="1" si="8"/>
        <v/>
      </c>
      <c r="O51" s="31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5"/>
      <c r="BM51" s="35"/>
      <c r="BN51" s="35"/>
      <c r="BO51" s="35"/>
      <c r="BP51" s="35"/>
      <c r="BQ51" s="35"/>
      <c r="BR51" s="35"/>
      <c r="BS51" s="35"/>
      <c r="BT51" s="35"/>
      <c r="BU51" s="35"/>
      <c r="BV51" s="35"/>
      <c r="BW51" s="35"/>
      <c r="BX51" s="35"/>
      <c r="BY51" s="35"/>
      <c r="BZ51" s="35"/>
      <c r="CA51" s="35"/>
      <c r="CB51" s="35"/>
      <c r="CC51" s="35"/>
      <c r="CD51" s="35"/>
      <c r="CE51" s="35"/>
      <c r="CF51" s="35"/>
      <c r="CG51" s="35"/>
      <c r="CH51" s="35"/>
      <c r="CI51" s="35"/>
      <c r="CJ51" s="35"/>
      <c r="CK51" s="35"/>
      <c r="CL51" s="35"/>
      <c r="CM51" s="35"/>
      <c r="CN51" s="35"/>
      <c r="CO51" s="35"/>
      <c r="CP51" s="35"/>
      <c r="CQ51" s="35"/>
      <c r="CR51" s="35"/>
      <c r="CS51" s="35"/>
      <c r="CT51" s="35"/>
      <c r="CU51" s="35"/>
      <c r="CV51" s="35"/>
      <c r="CW51" s="35"/>
      <c r="CX51" s="35"/>
      <c r="CY51" s="35"/>
      <c r="CZ51" s="35"/>
      <c r="DA51" s="35"/>
      <c r="DB51" s="35"/>
      <c r="DC51" s="35"/>
      <c r="DD51" s="35"/>
      <c r="DE51" s="35"/>
      <c r="DF51" s="35"/>
      <c r="DG51" s="35"/>
      <c r="DH51" s="35"/>
      <c r="DI51" s="35"/>
      <c r="DJ51" s="35"/>
      <c r="DK51" s="35"/>
      <c r="DL51" s="35"/>
      <c r="DM51" s="35"/>
      <c r="DN51" s="35"/>
      <c r="DO51" t="str">
        <f t="shared" si="9"/>
        <v/>
      </c>
    </row>
    <row r="52" spans="5:119" ht="18.95" customHeight="1" x14ac:dyDescent="0.25">
      <c r="E52" s="20"/>
      <c r="F52" s="20"/>
      <c r="G52" s="20"/>
      <c r="H52" s="20"/>
      <c r="K52" s="21"/>
      <c r="L52" t="str">
        <f t="shared" ref="L52:L83" ca="1" si="10">IF(C52="","",IF(K52&gt;=1,"Complete",IF(TODAY()&lt;E52,"Not Started",IF(K52&gt;=NETWORKDAYS.INTL(E52,MIN(TODAY(),G52),"0001111")/NETWORKDAYS.INTL(E52,G52,"0001111"),"On Track","Behind"))))</f>
        <v/>
      </c>
      <c r="O52" s="23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35"/>
      <c r="BT52" s="35"/>
      <c r="BU52" s="35"/>
      <c r="BV52" s="35"/>
      <c r="BW52" s="35"/>
      <c r="BX52" s="35"/>
      <c r="BY52" s="35"/>
      <c r="BZ52" s="35"/>
      <c r="CA52" s="35"/>
      <c r="CB52" s="35"/>
      <c r="CC52" s="35"/>
      <c r="CD52" s="35"/>
      <c r="CE52" s="35"/>
      <c r="CF52" s="35"/>
      <c r="CG52" s="35"/>
      <c r="CH52" s="35"/>
      <c r="CI52" s="35"/>
      <c r="CJ52" s="35"/>
      <c r="CK52" s="35"/>
      <c r="CL52" s="35"/>
      <c r="CM52" s="35"/>
      <c r="CN52" s="35"/>
      <c r="CO52" s="35"/>
      <c r="CP52" s="35"/>
      <c r="CQ52" s="35"/>
      <c r="CR52" s="35"/>
      <c r="CS52" s="35"/>
      <c r="CT52" s="35"/>
      <c r="CU52" s="35"/>
      <c r="CV52" s="35"/>
      <c r="CW52" s="35"/>
      <c r="CX52" s="35"/>
      <c r="CY52" s="35"/>
      <c r="CZ52" s="35"/>
      <c r="DA52" s="35"/>
      <c r="DB52" s="35"/>
      <c r="DC52" s="35"/>
      <c r="DD52" s="35"/>
      <c r="DE52" s="35"/>
      <c r="DF52" s="35"/>
      <c r="DG52" s="35"/>
      <c r="DH52" s="35"/>
      <c r="DI52" s="35"/>
      <c r="DJ52" s="35"/>
      <c r="DK52" s="35"/>
      <c r="DL52" s="35"/>
      <c r="DM52" s="35"/>
      <c r="DN52" s="35"/>
      <c r="DO52" t="str">
        <f t="shared" si="9"/>
        <v/>
      </c>
    </row>
    <row r="53" spans="5:119" ht="18.95" customHeight="1" x14ac:dyDescent="0.25">
      <c r="E53" s="20"/>
      <c r="F53" s="20"/>
      <c r="G53" s="20"/>
      <c r="H53" s="20"/>
      <c r="K53" s="21"/>
      <c r="L53" t="str">
        <f t="shared" ca="1" si="10"/>
        <v/>
      </c>
      <c r="O53" s="31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  <c r="BV53" s="35"/>
      <c r="BW53" s="35"/>
      <c r="BX53" s="35"/>
      <c r="BY53" s="35"/>
      <c r="BZ53" s="35"/>
      <c r="CA53" s="35"/>
      <c r="CB53" s="35"/>
      <c r="CC53" s="35"/>
      <c r="CD53" s="35"/>
      <c r="CE53" s="35"/>
      <c r="CF53" s="35"/>
      <c r="CG53" s="35"/>
      <c r="CH53" s="35"/>
      <c r="CI53" s="35"/>
      <c r="CJ53" s="35"/>
      <c r="CK53" s="35"/>
      <c r="CL53" s="35"/>
      <c r="CM53" s="35"/>
      <c r="CN53" s="35"/>
      <c r="CO53" s="35"/>
      <c r="CP53" s="35"/>
      <c r="CQ53" s="35"/>
      <c r="CR53" s="35"/>
      <c r="CS53" s="35"/>
      <c r="CT53" s="35"/>
      <c r="CU53" s="35"/>
      <c r="CV53" s="35"/>
      <c r="CW53" s="35"/>
      <c r="CX53" s="35"/>
      <c r="CY53" s="35"/>
      <c r="CZ53" s="35"/>
      <c r="DA53" s="35"/>
      <c r="DB53" s="35"/>
      <c r="DC53" s="35"/>
      <c r="DD53" s="35"/>
      <c r="DE53" s="35"/>
      <c r="DF53" s="35"/>
      <c r="DG53" s="35"/>
      <c r="DH53" s="35"/>
      <c r="DI53" s="35"/>
      <c r="DJ53" s="35"/>
      <c r="DK53" s="35"/>
      <c r="DL53" s="35"/>
      <c r="DM53" s="35"/>
      <c r="DN53" s="35"/>
      <c r="DO53" t="str">
        <f t="shared" si="9"/>
        <v/>
      </c>
    </row>
    <row r="54" spans="5:119" ht="18.95" customHeight="1" x14ac:dyDescent="0.25">
      <c r="E54" s="20"/>
      <c r="F54" s="20"/>
      <c r="G54" s="20"/>
      <c r="H54" s="20"/>
      <c r="K54" s="21"/>
      <c r="L54" t="str">
        <f t="shared" ca="1" si="10"/>
        <v/>
      </c>
      <c r="O54" s="23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  <c r="BV54" s="35"/>
      <c r="BW54" s="35"/>
      <c r="BX54" s="35"/>
      <c r="BY54" s="35"/>
      <c r="BZ54" s="35"/>
      <c r="CA54" s="35"/>
      <c r="CB54" s="35"/>
      <c r="CC54" s="35"/>
      <c r="CD54" s="35"/>
      <c r="CE54" s="35"/>
      <c r="CF54" s="35"/>
      <c r="CG54" s="35"/>
      <c r="CH54" s="35"/>
      <c r="CI54" s="35"/>
      <c r="CJ54" s="35"/>
      <c r="CK54" s="35"/>
      <c r="CL54" s="35"/>
      <c r="CM54" s="35"/>
      <c r="CN54" s="35"/>
      <c r="CO54" s="35"/>
      <c r="CP54" s="35"/>
      <c r="CQ54" s="35"/>
      <c r="CR54" s="35"/>
      <c r="CS54" s="35"/>
      <c r="CT54" s="35"/>
      <c r="CU54" s="35"/>
      <c r="CV54" s="35"/>
      <c r="CW54" s="35"/>
      <c r="CX54" s="35"/>
      <c r="CY54" s="35"/>
      <c r="CZ54" s="35"/>
      <c r="DA54" s="35"/>
      <c r="DB54" s="35"/>
      <c r="DC54" s="35"/>
      <c r="DD54" s="35"/>
      <c r="DE54" s="35"/>
      <c r="DF54" s="35"/>
      <c r="DG54" s="35"/>
      <c r="DH54" s="35"/>
      <c r="DI54" s="35"/>
      <c r="DJ54" s="35"/>
      <c r="DK54" s="35"/>
      <c r="DL54" s="35"/>
      <c r="DM54" s="35"/>
      <c r="DN54" s="35"/>
      <c r="DO54" t="str">
        <f t="shared" si="9"/>
        <v/>
      </c>
    </row>
    <row r="55" spans="5:119" ht="18.95" customHeight="1" x14ac:dyDescent="0.25">
      <c r="E55" s="20"/>
      <c r="F55" s="20"/>
      <c r="G55" s="20"/>
      <c r="H55" s="20"/>
      <c r="K55" s="21"/>
      <c r="L55" t="str">
        <f t="shared" ca="1" si="10"/>
        <v/>
      </c>
      <c r="O55" s="31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5"/>
      <c r="BM55" s="35"/>
      <c r="BN55" s="35"/>
      <c r="BO55" s="35"/>
      <c r="BP55" s="35"/>
      <c r="BQ55" s="35"/>
      <c r="BR55" s="35"/>
      <c r="BS55" s="35"/>
      <c r="BT55" s="35"/>
      <c r="BU55" s="35"/>
      <c r="BV55" s="35"/>
      <c r="BW55" s="35"/>
      <c r="BX55" s="35"/>
      <c r="BY55" s="35"/>
      <c r="BZ55" s="35"/>
      <c r="CA55" s="35"/>
      <c r="CB55" s="35"/>
      <c r="CC55" s="35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5"/>
      <c r="CX55" s="35"/>
      <c r="CY55" s="35"/>
      <c r="CZ55" s="35"/>
      <c r="DA55" s="35"/>
      <c r="DB55" s="35"/>
      <c r="DC55" s="35"/>
      <c r="DD55" s="35"/>
      <c r="DE55" s="35"/>
      <c r="DF55" s="35"/>
      <c r="DG55" s="35"/>
      <c r="DH55" s="35"/>
      <c r="DI55" s="35"/>
      <c r="DJ55" s="35"/>
      <c r="DK55" s="35"/>
      <c r="DL55" s="35"/>
      <c r="DM55" s="35"/>
      <c r="DN55" s="35"/>
      <c r="DO55" t="str">
        <f t="shared" si="9"/>
        <v/>
      </c>
    </row>
    <row r="56" spans="5:119" ht="18.95" customHeight="1" x14ac:dyDescent="0.25">
      <c r="E56" s="20"/>
      <c r="F56" s="20"/>
      <c r="G56" s="20"/>
      <c r="H56" s="20"/>
      <c r="K56" s="21"/>
      <c r="L56" t="str">
        <f t="shared" ca="1" si="10"/>
        <v/>
      </c>
      <c r="O56" s="23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5"/>
      <c r="BM56" s="35"/>
      <c r="BN56" s="35"/>
      <c r="BO56" s="35"/>
      <c r="BP56" s="35"/>
      <c r="BQ56" s="35"/>
      <c r="BR56" s="35"/>
      <c r="BS56" s="35"/>
      <c r="BT56" s="35"/>
      <c r="BU56" s="35"/>
      <c r="BV56" s="35"/>
      <c r="BW56" s="35"/>
      <c r="BX56" s="35"/>
      <c r="BY56" s="35"/>
      <c r="BZ56" s="35"/>
      <c r="CA56" s="35"/>
      <c r="CB56" s="35"/>
      <c r="CC56" s="35"/>
      <c r="CD56" s="35"/>
      <c r="CE56" s="35"/>
      <c r="CF56" s="35"/>
      <c r="CG56" s="35"/>
      <c r="CH56" s="35"/>
      <c r="CI56" s="35"/>
      <c r="CJ56" s="35"/>
      <c r="CK56" s="35"/>
      <c r="CL56" s="35"/>
      <c r="CM56" s="35"/>
      <c r="CN56" s="35"/>
      <c r="CO56" s="35"/>
      <c r="CP56" s="35"/>
      <c r="CQ56" s="35"/>
      <c r="CR56" s="35"/>
      <c r="CS56" s="35"/>
      <c r="CT56" s="35"/>
      <c r="CU56" s="35"/>
      <c r="CV56" s="35"/>
      <c r="CW56" s="35"/>
      <c r="CX56" s="35"/>
      <c r="CY56" s="35"/>
      <c r="CZ56" s="35"/>
      <c r="DA56" s="35"/>
      <c r="DB56" s="35"/>
      <c r="DC56" s="35"/>
      <c r="DD56" s="35"/>
      <c r="DE56" s="35"/>
      <c r="DF56" s="35"/>
      <c r="DG56" s="35"/>
      <c r="DH56" s="35"/>
      <c r="DI56" s="35"/>
      <c r="DJ56" s="35"/>
      <c r="DK56" s="35"/>
      <c r="DL56" s="35"/>
      <c r="DM56" s="35"/>
      <c r="DN56" s="35"/>
      <c r="DO56" t="str">
        <f t="shared" si="9"/>
        <v/>
      </c>
    </row>
    <row r="57" spans="5:119" ht="18.95" customHeight="1" x14ac:dyDescent="0.25">
      <c r="E57" s="20"/>
      <c r="F57" s="20"/>
      <c r="G57" s="20"/>
      <c r="H57" s="20"/>
      <c r="K57" s="21"/>
      <c r="L57" t="str">
        <f t="shared" ca="1" si="10"/>
        <v/>
      </c>
      <c r="O57" s="31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5"/>
      <c r="BM57" s="35"/>
      <c r="BN57" s="35"/>
      <c r="BO57" s="35"/>
      <c r="BP57" s="35"/>
      <c r="BQ57" s="35"/>
      <c r="BR57" s="35"/>
      <c r="BS57" s="35"/>
      <c r="BT57" s="35"/>
      <c r="BU57" s="35"/>
      <c r="BV57" s="35"/>
      <c r="BW57" s="35"/>
      <c r="BX57" s="35"/>
      <c r="BY57" s="35"/>
      <c r="BZ57" s="35"/>
      <c r="CA57" s="35"/>
      <c r="CB57" s="35"/>
      <c r="CC57" s="35"/>
      <c r="CD57" s="35"/>
      <c r="CE57" s="35"/>
      <c r="CF57" s="35"/>
      <c r="CG57" s="35"/>
      <c r="CH57" s="35"/>
      <c r="CI57" s="35"/>
      <c r="CJ57" s="35"/>
      <c r="CK57" s="35"/>
      <c r="CL57" s="35"/>
      <c r="CM57" s="35"/>
      <c r="CN57" s="35"/>
      <c r="CO57" s="35"/>
      <c r="CP57" s="35"/>
      <c r="CQ57" s="35"/>
      <c r="CR57" s="35"/>
      <c r="CS57" s="35"/>
      <c r="CT57" s="35"/>
      <c r="CU57" s="35"/>
      <c r="CV57" s="35"/>
      <c r="CW57" s="35"/>
      <c r="CX57" s="35"/>
      <c r="CY57" s="35"/>
      <c r="CZ57" s="35"/>
      <c r="DA57" s="35"/>
      <c r="DB57" s="35"/>
      <c r="DC57" s="35"/>
      <c r="DD57" s="35"/>
      <c r="DE57" s="35"/>
      <c r="DF57" s="35"/>
      <c r="DG57" s="35"/>
      <c r="DH57" s="35"/>
      <c r="DI57" s="35"/>
      <c r="DJ57" s="35"/>
      <c r="DK57" s="35"/>
      <c r="DL57" s="35"/>
      <c r="DM57" s="35"/>
      <c r="DN57" s="35"/>
      <c r="DO57" t="str">
        <f t="shared" si="9"/>
        <v/>
      </c>
    </row>
    <row r="58" spans="5:119" ht="18.95" customHeight="1" x14ac:dyDescent="0.25">
      <c r="E58" s="20"/>
      <c r="F58" s="20"/>
      <c r="G58" s="20"/>
      <c r="H58" s="20"/>
      <c r="K58" s="21"/>
      <c r="L58" t="str">
        <f t="shared" ca="1" si="10"/>
        <v/>
      </c>
      <c r="O58" s="23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5"/>
      <c r="BM58" s="35"/>
      <c r="BN58" s="35"/>
      <c r="BO58" s="35"/>
      <c r="BP58" s="35"/>
      <c r="BQ58" s="35"/>
      <c r="BR58" s="35"/>
      <c r="BS58" s="35"/>
      <c r="BT58" s="35"/>
      <c r="BU58" s="35"/>
      <c r="BV58" s="35"/>
      <c r="BW58" s="35"/>
      <c r="BX58" s="35"/>
      <c r="BY58" s="35"/>
      <c r="BZ58" s="35"/>
      <c r="CA58" s="35"/>
      <c r="CB58" s="35"/>
      <c r="CC58" s="35"/>
      <c r="CD58" s="35"/>
      <c r="CE58" s="35"/>
      <c r="CF58" s="35"/>
      <c r="CG58" s="35"/>
      <c r="CH58" s="35"/>
      <c r="CI58" s="35"/>
      <c r="CJ58" s="35"/>
      <c r="CK58" s="35"/>
      <c r="CL58" s="35"/>
      <c r="CM58" s="35"/>
      <c r="CN58" s="35"/>
      <c r="CO58" s="35"/>
      <c r="CP58" s="35"/>
      <c r="CQ58" s="35"/>
      <c r="CR58" s="35"/>
      <c r="CS58" s="35"/>
      <c r="CT58" s="35"/>
      <c r="CU58" s="35"/>
      <c r="CV58" s="35"/>
      <c r="CW58" s="35"/>
      <c r="CX58" s="35"/>
      <c r="CY58" s="35"/>
      <c r="CZ58" s="35"/>
      <c r="DA58" s="35"/>
      <c r="DB58" s="35"/>
      <c r="DC58" s="35"/>
      <c r="DD58" s="35"/>
      <c r="DE58" s="35"/>
      <c r="DF58" s="35"/>
      <c r="DG58" s="35"/>
      <c r="DH58" s="35"/>
      <c r="DI58" s="35"/>
      <c r="DJ58" s="35"/>
      <c r="DK58" s="35"/>
      <c r="DL58" s="35"/>
      <c r="DM58" s="35"/>
      <c r="DN58" s="35"/>
      <c r="DO58" t="str">
        <f t="shared" si="9"/>
        <v/>
      </c>
    </row>
    <row r="59" spans="5:119" ht="18.95" customHeight="1" x14ac:dyDescent="0.25">
      <c r="E59" s="20"/>
      <c r="F59" s="20"/>
      <c r="G59" s="20"/>
      <c r="H59" s="20"/>
      <c r="K59" s="21"/>
      <c r="L59" t="str">
        <f t="shared" ca="1" si="10"/>
        <v/>
      </c>
      <c r="O59" s="31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5"/>
      <c r="BM59" s="35"/>
      <c r="BN59" s="35"/>
      <c r="BO59" s="35"/>
      <c r="BP59" s="35"/>
      <c r="BQ59" s="35"/>
      <c r="BR59" s="35"/>
      <c r="BS59" s="35"/>
      <c r="BT59" s="35"/>
      <c r="BU59" s="35"/>
      <c r="BV59" s="35"/>
      <c r="BW59" s="35"/>
      <c r="BX59" s="35"/>
      <c r="BY59" s="35"/>
      <c r="BZ59" s="35"/>
      <c r="CA59" s="35"/>
      <c r="CB59" s="35"/>
      <c r="CC59" s="35"/>
      <c r="CD59" s="35"/>
      <c r="CE59" s="35"/>
      <c r="CF59" s="35"/>
      <c r="CG59" s="35"/>
      <c r="CH59" s="35"/>
      <c r="CI59" s="35"/>
      <c r="CJ59" s="35"/>
      <c r="CK59" s="35"/>
      <c r="CL59" s="35"/>
      <c r="CM59" s="35"/>
      <c r="CN59" s="35"/>
      <c r="CO59" s="35"/>
      <c r="CP59" s="35"/>
      <c r="CQ59" s="35"/>
      <c r="CR59" s="35"/>
      <c r="CS59" s="35"/>
      <c r="CT59" s="35"/>
      <c r="CU59" s="35"/>
      <c r="CV59" s="35"/>
      <c r="CW59" s="35"/>
      <c r="CX59" s="35"/>
      <c r="CY59" s="35"/>
      <c r="CZ59" s="35"/>
      <c r="DA59" s="35"/>
      <c r="DB59" s="35"/>
      <c r="DC59" s="35"/>
      <c r="DD59" s="35"/>
      <c r="DE59" s="35"/>
      <c r="DF59" s="35"/>
      <c r="DG59" s="35"/>
      <c r="DH59" s="35"/>
      <c r="DI59" s="35"/>
      <c r="DJ59" s="35"/>
      <c r="DK59" s="35"/>
      <c r="DL59" s="35"/>
      <c r="DM59" s="35"/>
      <c r="DN59" s="35"/>
      <c r="DO59" t="str">
        <f t="shared" si="9"/>
        <v/>
      </c>
    </row>
    <row r="60" spans="5:119" ht="18.95" customHeight="1" x14ac:dyDescent="0.25">
      <c r="E60" s="20"/>
      <c r="F60" s="20"/>
      <c r="G60" s="20"/>
      <c r="H60" s="20"/>
      <c r="K60" s="21"/>
      <c r="L60" t="str">
        <f t="shared" ca="1" si="10"/>
        <v/>
      </c>
      <c r="O60" s="23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5"/>
      <c r="BM60" s="35"/>
      <c r="BN60" s="35"/>
      <c r="BO60" s="35"/>
      <c r="BP60" s="35"/>
      <c r="BQ60" s="35"/>
      <c r="BR60" s="35"/>
      <c r="BS60" s="35"/>
      <c r="BT60" s="35"/>
      <c r="BU60" s="35"/>
      <c r="BV60" s="35"/>
      <c r="BW60" s="35"/>
      <c r="BX60" s="35"/>
      <c r="BY60" s="35"/>
      <c r="BZ60" s="35"/>
      <c r="CA60" s="35"/>
      <c r="CB60" s="35"/>
      <c r="CC60" s="35"/>
      <c r="CD60" s="35"/>
      <c r="CE60" s="35"/>
      <c r="CF60" s="35"/>
      <c r="CG60" s="35"/>
      <c r="CH60" s="35"/>
      <c r="CI60" s="35"/>
      <c r="CJ60" s="35"/>
      <c r="CK60" s="35"/>
      <c r="CL60" s="35"/>
      <c r="CM60" s="35"/>
      <c r="CN60" s="35"/>
      <c r="CO60" s="35"/>
      <c r="CP60" s="35"/>
      <c r="CQ60" s="35"/>
      <c r="CR60" s="35"/>
      <c r="CS60" s="35"/>
      <c r="CT60" s="35"/>
      <c r="CU60" s="35"/>
      <c r="CV60" s="35"/>
      <c r="CW60" s="35"/>
      <c r="CX60" s="35"/>
      <c r="CY60" s="35"/>
      <c r="CZ60" s="35"/>
      <c r="DA60" s="35"/>
      <c r="DB60" s="35"/>
      <c r="DC60" s="35"/>
      <c r="DD60" s="35"/>
      <c r="DE60" s="35"/>
      <c r="DF60" s="35"/>
      <c r="DG60" s="35"/>
      <c r="DH60" s="35"/>
      <c r="DI60" s="35"/>
      <c r="DJ60" s="35"/>
      <c r="DK60" s="35"/>
      <c r="DL60" s="35"/>
      <c r="DM60" s="35"/>
      <c r="DN60" s="35"/>
      <c r="DO60" t="str">
        <f t="shared" si="9"/>
        <v/>
      </c>
    </row>
    <row r="61" spans="5:119" ht="18.95" customHeight="1" x14ac:dyDescent="0.25">
      <c r="E61" s="20"/>
      <c r="F61" s="20"/>
      <c r="G61" s="20"/>
      <c r="H61" s="20"/>
      <c r="K61" s="21"/>
      <c r="L61" t="str">
        <f t="shared" ca="1" si="10"/>
        <v/>
      </c>
      <c r="O61" s="31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5"/>
      <c r="BM61" s="35"/>
      <c r="BN61" s="35"/>
      <c r="BO61" s="35"/>
      <c r="BP61" s="35"/>
      <c r="BQ61" s="35"/>
      <c r="BR61" s="35"/>
      <c r="BS61" s="35"/>
      <c r="BT61" s="35"/>
      <c r="BU61" s="35"/>
      <c r="BV61" s="35"/>
      <c r="BW61" s="35"/>
      <c r="BX61" s="35"/>
      <c r="BY61" s="35"/>
      <c r="BZ61" s="35"/>
      <c r="CA61" s="35"/>
      <c r="CB61" s="35"/>
      <c r="CC61" s="35"/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5"/>
      <c r="CX61" s="35"/>
      <c r="CY61" s="35"/>
      <c r="CZ61" s="35"/>
      <c r="DA61" s="35"/>
      <c r="DB61" s="35"/>
      <c r="DC61" s="35"/>
      <c r="DD61" s="35"/>
      <c r="DE61" s="35"/>
      <c r="DF61" s="35"/>
      <c r="DG61" s="35"/>
      <c r="DH61" s="35"/>
      <c r="DI61" s="35"/>
      <c r="DJ61" s="35"/>
      <c r="DK61" s="35"/>
      <c r="DL61" s="35"/>
      <c r="DM61" s="35"/>
      <c r="DN61" s="35"/>
      <c r="DO61" t="str">
        <f t="shared" si="9"/>
        <v/>
      </c>
    </row>
    <row r="62" spans="5:119" ht="18.95" customHeight="1" x14ac:dyDescent="0.25">
      <c r="E62" s="20"/>
      <c r="F62" s="20"/>
      <c r="G62" s="20"/>
      <c r="H62" s="20"/>
      <c r="K62" s="21"/>
      <c r="L62" t="str">
        <f t="shared" ca="1" si="10"/>
        <v/>
      </c>
      <c r="O62" s="23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35"/>
      <c r="BU62" s="35"/>
      <c r="BV62" s="35"/>
      <c r="BW62" s="35"/>
      <c r="BX62" s="35"/>
      <c r="BY62" s="35"/>
      <c r="BZ62" s="35"/>
      <c r="CA62" s="35"/>
      <c r="CB62" s="35"/>
      <c r="CC62" s="35"/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5"/>
      <c r="CX62" s="35"/>
      <c r="CY62" s="35"/>
      <c r="CZ62" s="35"/>
      <c r="DA62" s="35"/>
      <c r="DB62" s="35"/>
      <c r="DC62" s="35"/>
      <c r="DD62" s="35"/>
      <c r="DE62" s="35"/>
      <c r="DF62" s="35"/>
      <c r="DG62" s="35"/>
      <c r="DH62" s="35"/>
      <c r="DI62" s="35"/>
      <c r="DJ62" s="35"/>
      <c r="DK62" s="35"/>
      <c r="DL62" s="35"/>
      <c r="DM62" s="35"/>
      <c r="DN62" s="35"/>
      <c r="DO62" t="str">
        <f t="shared" si="9"/>
        <v/>
      </c>
    </row>
    <row r="63" spans="5:119" ht="18.95" customHeight="1" x14ac:dyDescent="0.25">
      <c r="E63" s="20"/>
      <c r="F63" s="20"/>
      <c r="G63" s="20"/>
      <c r="H63" s="20"/>
      <c r="K63" s="21"/>
      <c r="L63" t="str">
        <f t="shared" ca="1" si="10"/>
        <v/>
      </c>
      <c r="O63" s="31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  <c r="DA63" s="35"/>
      <c r="DB63" s="35"/>
      <c r="DC63" s="35"/>
      <c r="DD63" s="35"/>
      <c r="DE63" s="35"/>
      <c r="DF63" s="35"/>
      <c r="DG63" s="35"/>
      <c r="DH63" s="35"/>
      <c r="DI63" s="35"/>
      <c r="DJ63" s="35"/>
      <c r="DK63" s="35"/>
      <c r="DL63" s="35"/>
      <c r="DM63" s="35"/>
      <c r="DN63" s="35"/>
      <c r="DO63" t="str">
        <f t="shared" si="9"/>
        <v/>
      </c>
    </row>
    <row r="64" spans="5:119" ht="18.95" customHeight="1" x14ac:dyDescent="0.25">
      <c r="E64" s="20"/>
      <c r="F64" s="20"/>
      <c r="G64" s="20"/>
      <c r="H64" s="20"/>
      <c r="K64" s="21"/>
      <c r="L64" t="str">
        <f t="shared" ca="1" si="10"/>
        <v/>
      </c>
      <c r="O64" s="23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5"/>
      <c r="BM64" s="35"/>
      <c r="BN64" s="35"/>
      <c r="BO64" s="35"/>
      <c r="BP64" s="35"/>
      <c r="BQ64" s="35"/>
      <c r="BR64" s="35"/>
      <c r="BS64" s="35"/>
      <c r="BT64" s="35"/>
      <c r="BU64" s="35"/>
      <c r="BV64" s="35"/>
      <c r="BW64" s="35"/>
      <c r="BX64" s="35"/>
      <c r="BY64" s="35"/>
      <c r="BZ64" s="35"/>
      <c r="CA64" s="35"/>
      <c r="CB64" s="35"/>
      <c r="CC64" s="35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5"/>
      <c r="CX64" s="35"/>
      <c r="CY64" s="35"/>
      <c r="CZ64" s="35"/>
      <c r="DA64" s="35"/>
      <c r="DB64" s="35"/>
      <c r="DC64" s="35"/>
      <c r="DD64" s="35"/>
      <c r="DE64" s="35"/>
      <c r="DF64" s="35"/>
      <c r="DG64" s="35"/>
      <c r="DH64" s="35"/>
      <c r="DI64" s="35"/>
      <c r="DJ64" s="35"/>
      <c r="DK64" s="35"/>
      <c r="DL64" s="35"/>
      <c r="DM64" s="35"/>
      <c r="DN64" s="35"/>
      <c r="DO64" t="str">
        <f t="shared" ref="DO64:DO90" si="11">IF(C64="","",IF(L64="Complete",1,0))</f>
        <v/>
      </c>
    </row>
    <row r="65" spans="5:119" ht="18.95" customHeight="1" x14ac:dyDescent="0.25">
      <c r="E65" s="20"/>
      <c r="F65" s="20"/>
      <c r="G65" s="20"/>
      <c r="H65" s="20"/>
      <c r="K65" s="21"/>
      <c r="L65" t="str">
        <f t="shared" ca="1" si="10"/>
        <v/>
      </c>
      <c r="O65" s="31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5"/>
      <c r="BM65" s="35"/>
      <c r="BN65" s="35"/>
      <c r="BO65" s="35"/>
      <c r="BP65" s="35"/>
      <c r="BQ65" s="35"/>
      <c r="BR65" s="35"/>
      <c r="BS65" s="35"/>
      <c r="BT65" s="35"/>
      <c r="BU65" s="35"/>
      <c r="BV65" s="35"/>
      <c r="BW65" s="35"/>
      <c r="BX65" s="35"/>
      <c r="BY65" s="35"/>
      <c r="BZ65" s="35"/>
      <c r="CA65" s="35"/>
      <c r="CB65" s="35"/>
      <c r="CC65" s="35"/>
      <c r="CD65" s="35"/>
      <c r="CE65" s="35"/>
      <c r="CF65" s="35"/>
      <c r="CG65" s="35"/>
      <c r="CH65" s="35"/>
      <c r="CI65" s="35"/>
      <c r="CJ65" s="35"/>
      <c r="CK65" s="35"/>
      <c r="CL65" s="35"/>
      <c r="CM65" s="35"/>
      <c r="CN65" s="35"/>
      <c r="CO65" s="35"/>
      <c r="CP65" s="35"/>
      <c r="CQ65" s="35"/>
      <c r="CR65" s="35"/>
      <c r="CS65" s="35"/>
      <c r="CT65" s="35"/>
      <c r="CU65" s="35"/>
      <c r="CV65" s="35"/>
      <c r="CW65" s="35"/>
      <c r="CX65" s="35"/>
      <c r="CY65" s="35"/>
      <c r="CZ65" s="35"/>
      <c r="DA65" s="35"/>
      <c r="DB65" s="35"/>
      <c r="DC65" s="35"/>
      <c r="DD65" s="35"/>
      <c r="DE65" s="35"/>
      <c r="DF65" s="35"/>
      <c r="DG65" s="35"/>
      <c r="DH65" s="35"/>
      <c r="DI65" s="35"/>
      <c r="DJ65" s="35"/>
      <c r="DK65" s="35"/>
      <c r="DL65" s="35"/>
      <c r="DM65" s="35"/>
      <c r="DN65" s="35"/>
      <c r="DO65" t="str">
        <f t="shared" si="11"/>
        <v/>
      </c>
    </row>
    <row r="66" spans="5:119" ht="18.95" customHeight="1" x14ac:dyDescent="0.25">
      <c r="E66" s="20"/>
      <c r="F66" s="20"/>
      <c r="G66" s="20"/>
      <c r="H66" s="20"/>
      <c r="K66" s="21"/>
      <c r="L66" t="str">
        <f t="shared" ca="1" si="10"/>
        <v/>
      </c>
      <c r="O66" s="23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35"/>
      <c r="BT66" s="35"/>
      <c r="BU66" s="35"/>
      <c r="BV66" s="35"/>
      <c r="BW66" s="35"/>
      <c r="BX66" s="35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5"/>
      <c r="CS66" s="35"/>
      <c r="CT66" s="35"/>
      <c r="CU66" s="35"/>
      <c r="CV66" s="35"/>
      <c r="CW66" s="35"/>
      <c r="CX66" s="35"/>
      <c r="CY66" s="35"/>
      <c r="CZ66" s="35"/>
      <c r="DA66" s="35"/>
      <c r="DB66" s="35"/>
      <c r="DC66" s="35"/>
      <c r="DD66" s="35"/>
      <c r="DE66" s="35"/>
      <c r="DF66" s="35"/>
      <c r="DG66" s="35"/>
      <c r="DH66" s="35"/>
      <c r="DI66" s="35"/>
      <c r="DJ66" s="35"/>
      <c r="DK66" s="35"/>
      <c r="DL66" s="35"/>
      <c r="DM66" s="35"/>
      <c r="DN66" s="35"/>
      <c r="DO66" t="str">
        <f t="shared" si="11"/>
        <v/>
      </c>
    </row>
    <row r="67" spans="5:119" ht="18.95" customHeight="1" x14ac:dyDescent="0.25">
      <c r="E67" s="20"/>
      <c r="F67" s="20"/>
      <c r="G67" s="20"/>
      <c r="H67" s="20"/>
      <c r="K67" s="21"/>
      <c r="L67" t="str">
        <f t="shared" ca="1" si="10"/>
        <v/>
      </c>
      <c r="O67" s="31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5"/>
      <c r="BM67" s="35"/>
      <c r="BN67" s="35"/>
      <c r="BO67" s="35"/>
      <c r="BP67" s="35"/>
      <c r="BQ67" s="35"/>
      <c r="BR67" s="35"/>
      <c r="BS67" s="35"/>
      <c r="BT67" s="35"/>
      <c r="BU67" s="35"/>
      <c r="BV67" s="35"/>
      <c r="BW67" s="35"/>
      <c r="BX67" s="35"/>
      <c r="BY67" s="35"/>
      <c r="BZ67" s="35"/>
      <c r="CA67" s="35"/>
      <c r="CB67" s="35"/>
      <c r="CC67" s="35"/>
      <c r="CD67" s="35"/>
      <c r="CE67" s="35"/>
      <c r="CF67" s="35"/>
      <c r="CG67" s="35"/>
      <c r="CH67" s="35"/>
      <c r="CI67" s="35"/>
      <c r="CJ67" s="35"/>
      <c r="CK67" s="35"/>
      <c r="CL67" s="35"/>
      <c r="CM67" s="35"/>
      <c r="CN67" s="35"/>
      <c r="CO67" s="35"/>
      <c r="CP67" s="35"/>
      <c r="CQ67" s="35"/>
      <c r="CR67" s="35"/>
      <c r="CS67" s="35"/>
      <c r="CT67" s="35"/>
      <c r="CU67" s="35"/>
      <c r="CV67" s="35"/>
      <c r="CW67" s="35"/>
      <c r="CX67" s="35"/>
      <c r="CY67" s="35"/>
      <c r="CZ67" s="35"/>
      <c r="DA67" s="35"/>
      <c r="DB67" s="35"/>
      <c r="DC67" s="35"/>
      <c r="DD67" s="35"/>
      <c r="DE67" s="35"/>
      <c r="DF67" s="35"/>
      <c r="DG67" s="35"/>
      <c r="DH67" s="35"/>
      <c r="DI67" s="35"/>
      <c r="DJ67" s="35"/>
      <c r="DK67" s="35"/>
      <c r="DL67" s="35"/>
      <c r="DM67" s="35"/>
      <c r="DN67" s="35"/>
      <c r="DO67" t="str">
        <f t="shared" si="11"/>
        <v/>
      </c>
    </row>
    <row r="68" spans="5:119" ht="18.95" customHeight="1" x14ac:dyDescent="0.25">
      <c r="E68" s="20"/>
      <c r="F68" s="20"/>
      <c r="G68" s="20"/>
      <c r="H68" s="20"/>
      <c r="K68" s="21"/>
      <c r="L68" t="str">
        <f t="shared" ca="1" si="10"/>
        <v/>
      </c>
      <c r="O68" s="23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5"/>
      <c r="BM68" s="35"/>
      <c r="BN68" s="35"/>
      <c r="BO68" s="35"/>
      <c r="BP68" s="35"/>
      <c r="BQ68" s="35"/>
      <c r="BR68" s="35"/>
      <c r="BS68" s="35"/>
      <c r="BT68" s="35"/>
      <c r="BU68" s="35"/>
      <c r="BV68" s="35"/>
      <c r="BW68" s="35"/>
      <c r="BX68" s="35"/>
      <c r="BY68" s="35"/>
      <c r="BZ68" s="35"/>
      <c r="CA68" s="35"/>
      <c r="CB68" s="35"/>
      <c r="CC68" s="35"/>
      <c r="CD68" s="35"/>
      <c r="CE68" s="35"/>
      <c r="CF68" s="35"/>
      <c r="CG68" s="35"/>
      <c r="CH68" s="35"/>
      <c r="CI68" s="35"/>
      <c r="CJ68" s="35"/>
      <c r="CK68" s="35"/>
      <c r="CL68" s="35"/>
      <c r="CM68" s="35"/>
      <c r="CN68" s="35"/>
      <c r="CO68" s="35"/>
      <c r="CP68" s="35"/>
      <c r="CQ68" s="35"/>
      <c r="CR68" s="35"/>
      <c r="CS68" s="35"/>
      <c r="CT68" s="35"/>
      <c r="CU68" s="35"/>
      <c r="CV68" s="35"/>
      <c r="CW68" s="35"/>
      <c r="CX68" s="35"/>
      <c r="CY68" s="35"/>
      <c r="CZ68" s="35"/>
      <c r="DA68" s="35"/>
      <c r="DB68" s="35"/>
      <c r="DC68" s="35"/>
      <c r="DD68" s="35"/>
      <c r="DE68" s="35"/>
      <c r="DF68" s="35"/>
      <c r="DG68" s="35"/>
      <c r="DH68" s="35"/>
      <c r="DI68" s="35"/>
      <c r="DJ68" s="35"/>
      <c r="DK68" s="35"/>
      <c r="DL68" s="35"/>
      <c r="DM68" s="35"/>
      <c r="DN68" s="35"/>
      <c r="DO68" t="str">
        <f t="shared" si="11"/>
        <v/>
      </c>
    </row>
    <row r="69" spans="5:119" ht="18.95" customHeight="1" x14ac:dyDescent="0.25">
      <c r="E69" s="20"/>
      <c r="F69" s="20"/>
      <c r="G69" s="20"/>
      <c r="H69" s="20"/>
      <c r="K69" s="21"/>
      <c r="L69" t="str">
        <f t="shared" ca="1" si="10"/>
        <v/>
      </c>
      <c r="O69" s="31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5"/>
      <c r="BM69" s="35"/>
      <c r="BN69" s="35"/>
      <c r="BO69" s="35"/>
      <c r="BP69" s="35"/>
      <c r="BQ69" s="35"/>
      <c r="BR69" s="35"/>
      <c r="BS69" s="35"/>
      <c r="BT69" s="35"/>
      <c r="BU69" s="35"/>
      <c r="BV69" s="35"/>
      <c r="BW69" s="35"/>
      <c r="BX69" s="35"/>
      <c r="BY69" s="35"/>
      <c r="BZ69" s="35"/>
      <c r="CA69" s="35"/>
      <c r="CB69" s="35"/>
      <c r="CC69" s="35"/>
      <c r="CD69" s="35"/>
      <c r="CE69" s="35"/>
      <c r="CF69" s="35"/>
      <c r="CG69" s="35"/>
      <c r="CH69" s="35"/>
      <c r="CI69" s="35"/>
      <c r="CJ69" s="35"/>
      <c r="CK69" s="35"/>
      <c r="CL69" s="35"/>
      <c r="CM69" s="35"/>
      <c r="CN69" s="35"/>
      <c r="CO69" s="35"/>
      <c r="CP69" s="35"/>
      <c r="CQ69" s="35"/>
      <c r="CR69" s="35"/>
      <c r="CS69" s="35"/>
      <c r="CT69" s="35"/>
      <c r="CU69" s="35"/>
      <c r="CV69" s="35"/>
      <c r="CW69" s="35"/>
      <c r="CX69" s="35"/>
      <c r="CY69" s="35"/>
      <c r="CZ69" s="35"/>
      <c r="DA69" s="35"/>
      <c r="DB69" s="35"/>
      <c r="DC69" s="35"/>
      <c r="DD69" s="35"/>
      <c r="DE69" s="35"/>
      <c r="DF69" s="35"/>
      <c r="DG69" s="35"/>
      <c r="DH69" s="35"/>
      <c r="DI69" s="35"/>
      <c r="DJ69" s="35"/>
      <c r="DK69" s="35"/>
      <c r="DL69" s="35"/>
      <c r="DM69" s="35"/>
      <c r="DN69" s="35"/>
      <c r="DO69" t="str">
        <f t="shared" si="11"/>
        <v/>
      </c>
    </row>
    <row r="70" spans="5:119" ht="18.95" customHeight="1" x14ac:dyDescent="0.25">
      <c r="E70" s="20"/>
      <c r="F70" s="20"/>
      <c r="G70" s="20"/>
      <c r="H70" s="20"/>
      <c r="K70" s="21"/>
      <c r="L70" t="str">
        <f t="shared" ca="1" si="10"/>
        <v/>
      </c>
      <c r="O70" s="23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  <c r="DA70" s="35"/>
      <c r="DB70" s="35"/>
      <c r="DC70" s="35"/>
      <c r="DD70" s="35"/>
      <c r="DE70" s="35"/>
      <c r="DF70" s="35"/>
      <c r="DG70" s="35"/>
      <c r="DH70" s="35"/>
      <c r="DI70" s="35"/>
      <c r="DJ70" s="35"/>
      <c r="DK70" s="35"/>
      <c r="DL70" s="35"/>
      <c r="DM70" s="35"/>
      <c r="DN70" s="35"/>
      <c r="DO70" t="str">
        <f t="shared" si="11"/>
        <v/>
      </c>
    </row>
    <row r="71" spans="5:119" ht="18.95" customHeight="1" x14ac:dyDescent="0.25">
      <c r="E71" s="20"/>
      <c r="F71" s="20"/>
      <c r="G71" s="20"/>
      <c r="H71" s="20"/>
      <c r="K71" s="21"/>
      <c r="L71" t="str">
        <f t="shared" ca="1" si="10"/>
        <v/>
      </c>
      <c r="O71" s="31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/>
      <c r="BX71" s="35"/>
      <c r="BY71" s="35"/>
      <c r="BZ71" s="35"/>
      <c r="CA71" s="35"/>
      <c r="CB71" s="35"/>
      <c r="CC71" s="35"/>
      <c r="CD71" s="35"/>
      <c r="CE71" s="35"/>
      <c r="CF71" s="35"/>
      <c r="CG71" s="35"/>
      <c r="CH71" s="35"/>
      <c r="CI71" s="35"/>
      <c r="CJ71" s="35"/>
      <c r="CK71" s="35"/>
      <c r="CL71" s="35"/>
      <c r="CM71" s="35"/>
      <c r="CN71" s="35"/>
      <c r="CO71" s="35"/>
      <c r="CP71" s="35"/>
      <c r="CQ71" s="35"/>
      <c r="CR71" s="35"/>
      <c r="CS71" s="35"/>
      <c r="CT71" s="35"/>
      <c r="CU71" s="35"/>
      <c r="CV71" s="35"/>
      <c r="CW71" s="35"/>
      <c r="CX71" s="35"/>
      <c r="CY71" s="35"/>
      <c r="CZ71" s="35"/>
      <c r="DA71" s="35"/>
      <c r="DB71" s="35"/>
      <c r="DC71" s="35"/>
      <c r="DD71" s="35"/>
      <c r="DE71" s="35"/>
      <c r="DF71" s="35"/>
      <c r="DG71" s="35"/>
      <c r="DH71" s="35"/>
      <c r="DI71" s="35"/>
      <c r="DJ71" s="35"/>
      <c r="DK71" s="35"/>
      <c r="DL71" s="35"/>
      <c r="DM71" s="35"/>
      <c r="DN71" s="35"/>
      <c r="DO71" t="str">
        <f t="shared" si="11"/>
        <v/>
      </c>
    </row>
    <row r="72" spans="5:119" ht="18.95" customHeight="1" x14ac:dyDescent="0.25">
      <c r="E72" s="20"/>
      <c r="F72" s="20"/>
      <c r="G72" s="20"/>
      <c r="H72" s="20"/>
      <c r="K72" s="21"/>
      <c r="L72" t="str">
        <f t="shared" ca="1" si="10"/>
        <v/>
      </c>
      <c r="O72" s="23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5"/>
      <c r="BY72" s="35"/>
      <c r="BZ72" s="35"/>
      <c r="CA72" s="35"/>
      <c r="CB72" s="35"/>
      <c r="CC72" s="35"/>
      <c r="CD72" s="35"/>
      <c r="CE72" s="35"/>
      <c r="CF72" s="35"/>
      <c r="CG72" s="35"/>
      <c r="CH72" s="35"/>
      <c r="CI72" s="35"/>
      <c r="CJ72" s="35"/>
      <c r="CK72" s="35"/>
      <c r="CL72" s="35"/>
      <c r="CM72" s="35"/>
      <c r="CN72" s="35"/>
      <c r="CO72" s="35"/>
      <c r="CP72" s="35"/>
      <c r="CQ72" s="35"/>
      <c r="CR72" s="35"/>
      <c r="CS72" s="35"/>
      <c r="CT72" s="35"/>
      <c r="CU72" s="35"/>
      <c r="CV72" s="35"/>
      <c r="CW72" s="35"/>
      <c r="CX72" s="35"/>
      <c r="CY72" s="35"/>
      <c r="CZ72" s="35"/>
      <c r="DA72" s="35"/>
      <c r="DB72" s="35"/>
      <c r="DC72" s="35"/>
      <c r="DD72" s="35"/>
      <c r="DE72" s="35"/>
      <c r="DF72" s="35"/>
      <c r="DG72" s="35"/>
      <c r="DH72" s="35"/>
      <c r="DI72" s="35"/>
      <c r="DJ72" s="35"/>
      <c r="DK72" s="35"/>
      <c r="DL72" s="35"/>
      <c r="DM72" s="35"/>
      <c r="DN72" s="35"/>
      <c r="DO72" t="str">
        <f t="shared" si="11"/>
        <v/>
      </c>
    </row>
    <row r="73" spans="5:119" ht="18.95" customHeight="1" x14ac:dyDescent="0.25">
      <c r="E73" s="20"/>
      <c r="F73" s="20"/>
      <c r="G73" s="20"/>
      <c r="H73" s="20"/>
      <c r="K73" s="21"/>
      <c r="L73" t="str">
        <f t="shared" ca="1" si="10"/>
        <v/>
      </c>
      <c r="O73" s="31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35"/>
      <c r="BY73" s="35"/>
      <c r="BZ73" s="35"/>
      <c r="CA73" s="35"/>
      <c r="CB73" s="35"/>
      <c r="CC73" s="35"/>
      <c r="CD73" s="35"/>
      <c r="CE73" s="35"/>
      <c r="CF73" s="35"/>
      <c r="CG73" s="35"/>
      <c r="CH73" s="35"/>
      <c r="CI73" s="35"/>
      <c r="CJ73" s="35"/>
      <c r="CK73" s="35"/>
      <c r="CL73" s="35"/>
      <c r="CM73" s="35"/>
      <c r="CN73" s="35"/>
      <c r="CO73" s="35"/>
      <c r="CP73" s="35"/>
      <c r="CQ73" s="35"/>
      <c r="CR73" s="35"/>
      <c r="CS73" s="35"/>
      <c r="CT73" s="35"/>
      <c r="CU73" s="35"/>
      <c r="CV73" s="35"/>
      <c r="CW73" s="35"/>
      <c r="CX73" s="35"/>
      <c r="CY73" s="35"/>
      <c r="CZ73" s="35"/>
      <c r="DA73" s="35"/>
      <c r="DB73" s="35"/>
      <c r="DC73" s="35"/>
      <c r="DD73" s="35"/>
      <c r="DE73" s="35"/>
      <c r="DF73" s="35"/>
      <c r="DG73" s="35"/>
      <c r="DH73" s="35"/>
      <c r="DI73" s="35"/>
      <c r="DJ73" s="35"/>
      <c r="DK73" s="35"/>
      <c r="DL73" s="35"/>
      <c r="DM73" s="35"/>
      <c r="DN73" s="35"/>
      <c r="DO73" t="str">
        <f t="shared" si="11"/>
        <v/>
      </c>
    </row>
    <row r="74" spans="5:119" ht="18.95" customHeight="1" x14ac:dyDescent="0.25">
      <c r="E74" s="20"/>
      <c r="F74" s="20"/>
      <c r="G74" s="20"/>
      <c r="H74" s="20"/>
      <c r="K74" s="21"/>
      <c r="L74" t="str">
        <f t="shared" ca="1" si="10"/>
        <v/>
      </c>
      <c r="O74" s="23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5"/>
      <c r="BM74" s="35"/>
      <c r="BN74" s="35"/>
      <c r="BO74" s="35"/>
      <c r="BP74" s="35"/>
      <c r="BQ74" s="35"/>
      <c r="BR74" s="35"/>
      <c r="BS74" s="35"/>
      <c r="BT74" s="35"/>
      <c r="BU74" s="35"/>
      <c r="BV74" s="35"/>
      <c r="BW74" s="35"/>
      <c r="BX74" s="35"/>
      <c r="BY74" s="35"/>
      <c r="BZ74" s="35"/>
      <c r="CA74" s="35"/>
      <c r="CB74" s="35"/>
      <c r="CC74" s="35"/>
      <c r="CD74" s="35"/>
      <c r="CE74" s="35"/>
      <c r="CF74" s="35"/>
      <c r="CG74" s="35"/>
      <c r="CH74" s="35"/>
      <c r="CI74" s="35"/>
      <c r="CJ74" s="35"/>
      <c r="CK74" s="35"/>
      <c r="CL74" s="35"/>
      <c r="CM74" s="35"/>
      <c r="CN74" s="35"/>
      <c r="CO74" s="35"/>
      <c r="CP74" s="35"/>
      <c r="CQ74" s="35"/>
      <c r="CR74" s="35"/>
      <c r="CS74" s="35"/>
      <c r="CT74" s="35"/>
      <c r="CU74" s="35"/>
      <c r="CV74" s="35"/>
      <c r="CW74" s="35"/>
      <c r="CX74" s="35"/>
      <c r="CY74" s="35"/>
      <c r="CZ74" s="35"/>
      <c r="DA74" s="35"/>
      <c r="DB74" s="35"/>
      <c r="DC74" s="35"/>
      <c r="DD74" s="35"/>
      <c r="DE74" s="35"/>
      <c r="DF74" s="35"/>
      <c r="DG74" s="35"/>
      <c r="DH74" s="35"/>
      <c r="DI74" s="35"/>
      <c r="DJ74" s="35"/>
      <c r="DK74" s="35"/>
      <c r="DL74" s="35"/>
      <c r="DM74" s="35"/>
      <c r="DN74" s="35"/>
      <c r="DO74" t="str">
        <f t="shared" si="11"/>
        <v/>
      </c>
    </row>
    <row r="75" spans="5:119" ht="18.95" customHeight="1" x14ac:dyDescent="0.25">
      <c r="E75" s="20"/>
      <c r="F75" s="20"/>
      <c r="G75" s="20"/>
      <c r="H75" s="20"/>
      <c r="K75" s="21"/>
      <c r="L75" t="str">
        <f t="shared" ca="1" si="10"/>
        <v/>
      </c>
      <c r="O75" s="31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5"/>
      <c r="CP75" s="35"/>
      <c r="CQ75" s="35"/>
      <c r="CR75" s="35"/>
      <c r="CS75" s="35"/>
      <c r="CT75" s="35"/>
      <c r="CU75" s="35"/>
      <c r="CV75" s="35"/>
      <c r="CW75" s="35"/>
      <c r="CX75" s="35"/>
      <c r="CY75" s="35"/>
      <c r="CZ75" s="35"/>
      <c r="DA75" s="35"/>
      <c r="DB75" s="35"/>
      <c r="DC75" s="35"/>
      <c r="DD75" s="35"/>
      <c r="DE75" s="35"/>
      <c r="DF75" s="35"/>
      <c r="DG75" s="35"/>
      <c r="DH75" s="35"/>
      <c r="DI75" s="35"/>
      <c r="DJ75" s="35"/>
      <c r="DK75" s="35"/>
      <c r="DL75" s="35"/>
      <c r="DM75" s="35"/>
      <c r="DN75" s="35"/>
      <c r="DO75" t="str">
        <f t="shared" si="11"/>
        <v/>
      </c>
    </row>
    <row r="76" spans="5:119" ht="18.95" customHeight="1" x14ac:dyDescent="0.25">
      <c r="E76" s="20"/>
      <c r="F76" s="20"/>
      <c r="G76" s="20"/>
      <c r="H76" s="20"/>
      <c r="K76" s="21"/>
      <c r="L76" t="str">
        <f t="shared" ca="1" si="10"/>
        <v/>
      </c>
      <c r="O76" s="23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5"/>
      <c r="BM76" s="35"/>
      <c r="BN76" s="35"/>
      <c r="BO76" s="35"/>
      <c r="BP76" s="35"/>
      <c r="BQ76" s="35"/>
      <c r="BR76" s="35"/>
      <c r="BS76" s="35"/>
      <c r="BT76" s="35"/>
      <c r="BU76" s="35"/>
      <c r="BV76" s="35"/>
      <c r="BW76" s="35"/>
      <c r="BX76" s="35"/>
      <c r="BY76" s="35"/>
      <c r="BZ76" s="35"/>
      <c r="CA76" s="35"/>
      <c r="CB76" s="35"/>
      <c r="CC76" s="35"/>
      <c r="CD76" s="35"/>
      <c r="CE76" s="35"/>
      <c r="CF76" s="35"/>
      <c r="CG76" s="35"/>
      <c r="CH76" s="35"/>
      <c r="CI76" s="35"/>
      <c r="CJ76" s="35"/>
      <c r="CK76" s="35"/>
      <c r="CL76" s="35"/>
      <c r="CM76" s="35"/>
      <c r="CN76" s="35"/>
      <c r="CO76" s="35"/>
      <c r="CP76" s="35"/>
      <c r="CQ76" s="35"/>
      <c r="CR76" s="35"/>
      <c r="CS76" s="35"/>
      <c r="CT76" s="35"/>
      <c r="CU76" s="35"/>
      <c r="CV76" s="35"/>
      <c r="CW76" s="35"/>
      <c r="CX76" s="35"/>
      <c r="CY76" s="35"/>
      <c r="CZ76" s="35"/>
      <c r="DA76" s="35"/>
      <c r="DB76" s="35"/>
      <c r="DC76" s="35"/>
      <c r="DD76" s="35"/>
      <c r="DE76" s="35"/>
      <c r="DF76" s="35"/>
      <c r="DG76" s="35"/>
      <c r="DH76" s="35"/>
      <c r="DI76" s="35"/>
      <c r="DJ76" s="35"/>
      <c r="DK76" s="35"/>
      <c r="DL76" s="35"/>
      <c r="DM76" s="35"/>
      <c r="DN76" s="35"/>
      <c r="DO76" t="str">
        <f t="shared" si="11"/>
        <v/>
      </c>
    </row>
    <row r="77" spans="5:119" ht="18.95" customHeight="1" x14ac:dyDescent="0.25">
      <c r="E77" s="20"/>
      <c r="F77" s="20"/>
      <c r="G77" s="20"/>
      <c r="H77" s="20"/>
      <c r="K77" s="21"/>
      <c r="L77" t="str">
        <f t="shared" ca="1" si="10"/>
        <v/>
      </c>
      <c r="O77" s="31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5"/>
      <c r="BM77" s="35"/>
      <c r="BN77" s="35"/>
      <c r="BO77" s="35"/>
      <c r="BP77" s="35"/>
      <c r="BQ77" s="35"/>
      <c r="BR77" s="35"/>
      <c r="BS77" s="35"/>
      <c r="BT77" s="35"/>
      <c r="BU77" s="35"/>
      <c r="BV77" s="35"/>
      <c r="BW77" s="35"/>
      <c r="BX77" s="35"/>
      <c r="BY77" s="35"/>
      <c r="BZ77" s="35"/>
      <c r="CA77" s="35"/>
      <c r="CB77" s="35"/>
      <c r="CC77" s="35"/>
      <c r="CD77" s="35"/>
      <c r="CE77" s="35"/>
      <c r="CF77" s="35"/>
      <c r="CG77" s="35"/>
      <c r="CH77" s="35"/>
      <c r="CI77" s="35"/>
      <c r="CJ77" s="35"/>
      <c r="CK77" s="35"/>
      <c r="CL77" s="35"/>
      <c r="CM77" s="35"/>
      <c r="CN77" s="35"/>
      <c r="CO77" s="35"/>
      <c r="CP77" s="35"/>
      <c r="CQ77" s="35"/>
      <c r="CR77" s="35"/>
      <c r="CS77" s="35"/>
      <c r="CT77" s="35"/>
      <c r="CU77" s="35"/>
      <c r="CV77" s="35"/>
      <c r="CW77" s="35"/>
      <c r="CX77" s="35"/>
      <c r="CY77" s="35"/>
      <c r="CZ77" s="35"/>
      <c r="DA77" s="35"/>
      <c r="DB77" s="35"/>
      <c r="DC77" s="35"/>
      <c r="DD77" s="35"/>
      <c r="DE77" s="35"/>
      <c r="DF77" s="35"/>
      <c r="DG77" s="35"/>
      <c r="DH77" s="35"/>
      <c r="DI77" s="35"/>
      <c r="DJ77" s="35"/>
      <c r="DK77" s="35"/>
      <c r="DL77" s="35"/>
      <c r="DM77" s="35"/>
      <c r="DN77" s="35"/>
      <c r="DO77" t="str">
        <f t="shared" si="11"/>
        <v/>
      </c>
    </row>
    <row r="78" spans="5:119" ht="18.95" customHeight="1" x14ac:dyDescent="0.25">
      <c r="E78" s="20"/>
      <c r="F78" s="20"/>
      <c r="G78" s="20"/>
      <c r="H78" s="20"/>
      <c r="K78" s="21"/>
      <c r="L78" t="str">
        <f t="shared" ca="1" si="10"/>
        <v/>
      </c>
      <c r="O78" s="23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5"/>
      <c r="BM78" s="35"/>
      <c r="BN78" s="35"/>
      <c r="BO78" s="35"/>
      <c r="BP78" s="35"/>
      <c r="BQ78" s="35"/>
      <c r="BR78" s="35"/>
      <c r="BS78" s="35"/>
      <c r="BT78" s="35"/>
      <c r="BU78" s="35"/>
      <c r="BV78" s="35"/>
      <c r="BW78" s="35"/>
      <c r="BX78" s="35"/>
      <c r="BY78" s="35"/>
      <c r="BZ78" s="35"/>
      <c r="CA78" s="35"/>
      <c r="CB78" s="35"/>
      <c r="CC78" s="35"/>
      <c r="CD78" s="35"/>
      <c r="CE78" s="35"/>
      <c r="CF78" s="35"/>
      <c r="CG78" s="35"/>
      <c r="CH78" s="35"/>
      <c r="CI78" s="35"/>
      <c r="CJ78" s="35"/>
      <c r="CK78" s="35"/>
      <c r="CL78" s="35"/>
      <c r="CM78" s="35"/>
      <c r="CN78" s="35"/>
      <c r="CO78" s="35"/>
      <c r="CP78" s="35"/>
      <c r="CQ78" s="35"/>
      <c r="CR78" s="35"/>
      <c r="CS78" s="35"/>
      <c r="CT78" s="35"/>
      <c r="CU78" s="35"/>
      <c r="CV78" s="35"/>
      <c r="CW78" s="35"/>
      <c r="CX78" s="35"/>
      <c r="CY78" s="35"/>
      <c r="CZ78" s="35"/>
      <c r="DA78" s="35"/>
      <c r="DB78" s="35"/>
      <c r="DC78" s="35"/>
      <c r="DD78" s="35"/>
      <c r="DE78" s="35"/>
      <c r="DF78" s="35"/>
      <c r="DG78" s="35"/>
      <c r="DH78" s="35"/>
      <c r="DI78" s="35"/>
      <c r="DJ78" s="35"/>
      <c r="DK78" s="35"/>
      <c r="DL78" s="35"/>
      <c r="DM78" s="35"/>
      <c r="DN78" s="35"/>
      <c r="DO78" t="str">
        <f t="shared" si="11"/>
        <v/>
      </c>
    </row>
    <row r="79" spans="5:119" ht="18.95" customHeight="1" x14ac:dyDescent="0.25">
      <c r="E79" s="20"/>
      <c r="F79" s="20"/>
      <c r="G79" s="20"/>
      <c r="H79" s="20"/>
      <c r="K79" s="21"/>
      <c r="L79" t="str">
        <f t="shared" ca="1" si="10"/>
        <v/>
      </c>
      <c r="O79" s="31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5"/>
      <c r="BM79" s="35"/>
      <c r="BN79" s="35"/>
      <c r="BO79" s="35"/>
      <c r="BP79" s="35"/>
      <c r="BQ79" s="35"/>
      <c r="BR79" s="35"/>
      <c r="BS79" s="35"/>
      <c r="BT79" s="35"/>
      <c r="BU79" s="35"/>
      <c r="BV79" s="35"/>
      <c r="BW79" s="35"/>
      <c r="BX79" s="35"/>
      <c r="BY79" s="35"/>
      <c r="BZ79" s="35"/>
      <c r="CA79" s="35"/>
      <c r="CB79" s="35"/>
      <c r="CC79" s="35"/>
      <c r="CD79" s="35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5"/>
      <c r="CP79" s="35"/>
      <c r="CQ79" s="35"/>
      <c r="CR79" s="35"/>
      <c r="CS79" s="35"/>
      <c r="CT79" s="35"/>
      <c r="CU79" s="35"/>
      <c r="CV79" s="35"/>
      <c r="CW79" s="35"/>
      <c r="CX79" s="35"/>
      <c r="CY79" s="35"/>
      <c r="CZ79" s="35"/>
      <c r="DA79" s="35"/>
      <c r="DB79" s="35"/>
      <c r="DC79" s="35"/>
      <c r="DD79" s="35"/>
      <c r="DE79" s="35"/>
      <c r="DF79" s="35"/>
      <c r="DG79" s="35"/>
      <c r="DH79" s="35"/>
      <c r="DI79" s="35"/>
      <c r="DJ79" s="35"/>
      <c r="DK79" s="35"/>
      <c r="DL79" s="35"/>
      <c r="DM79" s="35"/>
      <c r="DN79" s="35"/>
      <c r="DO79" t="str">
        <f t="shared" si="11"/>
        <v/>
      </c>
    </row>
    <row r="80" spans="5:119" ht="18.95" customHeight="1" x14ac:dyDescent="0.25">
      <c r="E80" s="20"/>
      <c r="F80" s="20"/>
      <c r="G80" s="20"/>
      <c r="H80" s="20"/>
      <c r="K80" s="21"/>
      <c r="L80" t="str">
        <f t="shared" ca="1" si="10"/>
        <v/>
      </c>
      <c r="O80" s="23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5"/>
      <c r="BM80" s="35"/>
      <c r="BN80" s="35"/>
      <c r="BO80" s="35"/>
      <c r="BP80" s="35"/>
      <c r="BQ80" s="35"/>
      <c r="BR80" s="35"/>
      <c r="BS80" s="35"/>
      <c r="BT80" s="35"/>
      <c r="BU80" s="35"/>
      <c r="BV80" s="35"/>
      <c r="BW80" s="35"/>
      <c r="BX80" s="35"/>
      <c r="BY80" s="35"/>
      <c r="BZ80" s="35"/>
      <c r="CA80" s="35"/>
      <c r="CB80" s="35"/>
      <c r="CC80" s="35"/>
      <c r="CD80" s="35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5"/>
      <c r="CP80" s="35"/>
      <c r="CQ80" s="35"/>
      <c r="CR80" s="35"/>
      <c r="CS80" s="35"/>
      <c r="CT80" s="35"/>
      <c r="CU80" s="35"/>
      <c r="CV80" s="35"/>
      <c r="CW80" s="35"/>
      <c r="CX80" s="35"/>
      <c r="CY80" s="35"/>
      <c r="CZ80" s="35"/>
      <c r="DA80" s="35"/>
      <c r="DB80" s="35"/>
      <c r="DC80" s="35"/>
      <c r="DD80" s="35"/>
      <c r="DE80" s="35"/>
      <c r="DF80" s="35"/>
      <c r="DG80" s="35"/>
      <c r="DH80" s="35"/>
      <c r="DI80" s="35"/>
      <c r="DJ80" s="35"/>
      <c r="DK80" s="35"/>
      <c r="DL80" s="35"/>
      <c r="DM80" s="35"/>
      <c r="DN80" s="35"/>
      <c r="DO80" t="str">
        <f t="shared" si="11"/>
        <v/>
      </c>
    </row>
    <row r="81" spans="5:119" ht="18.95" customHeight="1" x14ac:dyDescent="0.25">
      <c r="E81" s="20"/>
      <c r="F81" s="20"/>
      <c r="G81" s="20"/>
      <c r="H81" s="20"/>
      <c r="K81" s="21"/>
      <c r="L81" t="str">
        <f t="shared" ca="1" si="10"/>
        <v/>
      </c>
      <c r="O81" s="31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5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5"/>
      <c r="CP81" s="35"/>
      <c r="CQ81" s="35"/>
      <c r="CR81" s="35"/>
      <c r="CS81" s="35"/>
      <c r="CT81" s="35"/>
      <c r="CU81" s="35"/>
      <c r="CV81" s="35"/>
      <c r="CW81" s="35"/>
      <c r="CX81" s="35"/>
      <c r="CY81" s="35"/>
      <c r="CZ81" s="35"/>
      <c r="DA81" s="35"/>
      <c r="DB81" s="35"/>
      <c r="DC81" s="35"/>
      <c r="DD81" s="35"/>
      <c r="DE81" s="35"/>
      <c r="DF81" s="35"/>
      <c r="DG81" s="35"/>
      <c r="DH81" s="35"/>
      <c r="DI81" s="35"/>
      <c r="DJ81" s="35"/>
      <c r="DK81" s="35"/>
      <c r="DL81" s="35"/>
      <c r="DM81" s="35"/>
      <c r="DN81" s="35"/>
      <c r="DO81" t="str">
        <f t="shared" si="11"/>
        <v/>
      </c>
    </row>
    <row r="82" spans="5:119" ht="18.95" customHeight="1" x14ac:dyDescent="0.25">
      <c r="E82" s="20"/>
      <c r="F82" s="20"/>
      <c r="G82" s="20"/>
      <c r="H82" s="20"/>
      <c r="K82" s="21"/>
      <c r="L82" t="str">
        <f t="shared" ca="1" si="10"/>
        <v/>
      </c>
      <c r="O82" s="23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5"/>
      <c r="BZ82" s="35"/>
      <c r="CA82" s="35"/>
      <c r="CB82" s="35"/>
      <c r="CC82" s="35"/>
      <c r="CD82" s="35"/>
      <c r="CE82" s="35"/>
      <c r="CF82" s="35"/>
      <c r="CG82" s="35"/>
      <c r="CH82" s="35"/>
      <c r="CI82" s="35"/>
      <c r="CJ82" s="35"/>
      <c r="CK82" s="35"/>
      <c r="CL82" s="35"/>
      <c r="CM82" s="35"/>
      <c r="CN82" s="35"/>
      <c r="CO82" s="35"/>
      <c r="CP82" s="35"/>
      <c r="CQ82" s="35"/>
      <c r="CR82" s="35"/>
      <c r="CS82" s="35"/>
      <c r="CT82" s="35"/>
      <c r="CU82" s="35"/>
      <c r="CV82" s="35"/>
      <c r="CW82" s="35"/>
      <c r="CX82" s="35"/>
      <c r="CY82" s="35"/>
      <c r="CZ82" s="35"/>
      <c r="DA82" s="35"/>
      <c r="DB82" s="35"/>
      <c r="DC82" s="35"/>
      <c r="DD82" s="35"/>
      <c r="DE82" s="35"/>
      <c r="DF82" s="35"/>
      <c r="DG82" s="35"/>
      <c r="DH82" s="35"/>
      <c r="DI82" s="35"/>
      <c r="DJ82" s="35"/>
      <c r="DK82" s="35"/>
      <c r="DL82" s="35"/>
      <c r="DM82" s="35"/>
      <c r="DN82" s="35"/>
      <c r="DO82" t="str">
        <f t="shared" si="11"/>
        <v/>
      </c>
    </row>
    <row r="83" spans="5:119" ht="18.95" customHeight="1" x14ac:dyDescent="0.25">
      <c r="E83" s="20"/>
      <c r="F83" s="20"/>
      <c r="G83" s="20"/>
      <c r="H83" s="20"/>
      <c r="K83" s="21"/>
      <c r="L83" t="str">
        <f t="shared" ca="1" si="10"/>
        <v/>
      </c>
      <c r="O83" s="31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5"/>
      <c r="BM83" s="35"/>
      <c r="BN83" s="35"/>
      <c r="BO83" s="35"/>
      <c r="BP83" s="35"/>
      <c r="BQ83" s="35"/>
      <c r="BR83" s="35"/>
      <c r="BS83" s="35"/>
      <c r="BT83" s="35"/>
      <c r="BU83" s="35"/>
      <c r="BV83" s="35"/>
      <c r="BW83" s="35"/>
      <c r="BX83" s="35"/>
      <c r="BY83" s="35"/>
      <c r="BZ83" s="35"/>
      <c r="CA83" s="35"/>
      <c r="CB83" s="35"/>
      <c r="CC83" s="35"/>
      <c r="CD83" s="35"/>
      <c r="CE83" s="35"/>
      <c r="CF83" s="35"/>
      <c r="CG83" s="35"/>
      <c r="CH83" s="35"/>
      <c r="CI83" s="35"/>
      <c r="CJ83" s="35"/>
      <c r="CK83" s="35"/>
      <c r="CL83" s="35"/>
      <c r="CM83" s="35"/>
      <c r="CN83" s="35"/>
      <c r="CO83" s="35"/>
      <c r="CP83" s="35"/>
      <c r="CQ83" s="35"/>
      <c r="CR83" s="35"/>
      <c r="CS83" s="35"/>
      <c r="CT83" s="35"/>
      <c r="CU83" s="35"/>
      <c r="CV83" s="35"/>
      <c r="CW83" s="35"/>
      <c r="CX83" s="35"/>
      <c r="CY83" s="35"/>
      <c r="CZ83" s="35"/>
      <c r="DA83" s="35"/>
      <c r="DB83" s="35"/>
      <c r="DC83" s="35"/>
      <c r="DD83" s="35"/>
      <c r="DE83" s="35"/>
      <c r="DF83" s="35"/>
      <c r="DG83" s="35"/>
      <c r="DH83" s="35"/>
      <c r="DI83" s="35"/>
      <c r="DJ83" s="35"/>
      <c r="DK83" s="35"/>
      <c r="DL83" s="35"/>
      <c r="DM83" s="35"/>
      <c r="DN83" s="35"/>
      <c r="DO83" t="str">
        <f t="shared" si="11"/>
        <v/>
      </c>
    </row>
    <row r="84" spans="5:119" ht="18.95" customHeight="1" x14ac:dyDescent="0.25">
      <c r="E84" s="20"/>
      <c r="F84" s="20"/>
      <c r="G84" s="20"/>
      <c r="H84" s="20"/>
      <c r="K84" s="21"/>
      <c r="L84" t="str">
        <f t="shared" ref="L84:L90" ca="1" si="12">IF(C84="","",IF(K84&gt;=1,"Complete",IF(TODAY()&lt;E84,"Not Started",IF(K84&gt;=NETWORKDAYS.INTL(E84,MIN(TODAY(),G84),"0001111")/NETWORKDAYS.INTL(E84,G84,"0001111"),"On Track","Behind"))))</f>
        <v/>
      </c>
      <c r="O84" s="23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  <c r="BU84" s="35"/>
      <c r="BV84" s="35"/>
      <c r="BW84" s="35"/>
      <c r="BX84" s="35"/>
      <c r="BY84" s="35"/>
      <c r="BZ84" s="35"/>
      <c r="CA84" s="35"/>
      <c r="CB84" s="35"/>
      <c r="CC84" s="35"/>
      <c r="CD84" s="35"/>
      <c r="CE84" s="35"/>
      <c r="CF84" s="35"/>
      <c r="CG84" s="35"/>
      <c r="CH84" s="35"/>
      <c r="CI84" s="35"/>
      <c r="CJ84" s="35"/>
      <c r="CK84" s="35"/>
      <c r="CL84" s="35"/>
      <c r="CM84" s="35"/>
      <c r="CN84" s="35"/>
      <c r="CO84" s="35"/>
      <c r="CP84" s="35"/>
      <c r="CQ84" s="35"/>
      <c r="CR84" s="35"/>
      <c r="CS84" s="35"/>
      <c r="CT84" s="35"/>
      <c r="CU84" s="35"/>
      <c r="CV84" s="35"/>
      <c r="CW84" s="35"/>
      <c r="CX84" s="35"/>
      <c r="CY84" s="35"/>
      <c r="CZ84" s="35"/>
      <c r="DA84" s="35"/>
      <c r="DB84" s="35"/>
      <c r="DC84" s="35"/>
      <c r="DD84" s="35"/>
      <c r="DE84" s="35"/>
      <c r="DF84" s="35"/>
      <c r="DG84" s="35"/>
      <c r="DH84" s="35"/>
      <c r="DI84" s="35"/>
      <c r="DJ84" s="35"/>
      <c r="DK84" s="35"/>
      <c r="DL84" s="35"/>
      <c r="DM84" s="35"/>
      <c r="DN84" s="35"/>
      <c r="DO84" t="str">
        <f t="shared" si="11"/>
        <v/>
      </c>
    </row>
    <row r="85" spans="5:119" ht="18.95" customHeight="1" x14ac:dyDescent="0.25">
      <c r="E85" s="20"/>
      <c r="F85" s="20"/>
      <c r="G85" s="20"/>
      <c r="H85" s="20"/>
      <c r="K85" s="21"/>
      <c r="L85" t="str">
        <f t="shared" ca="1" si="12"/>
        <v/>
      </c>
      <c r="O85" s="31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5"/>
      <c r="BM85" s="35"/>
      <c r="BN85" s="35"/>
      <c r="BO85" s="35"/>
      <c r="BP85" s="35"/>
      <c r="BQ85" s="35"/>
      <c r="BR85" s="35"/>
      <c r="BS85" s="35"/>
      <c r="BT85" s="35"/>
      <c r="BU85" s="35"/>
      <c r="BV85" s="35"/>
      <c r="BW85" s="35"/>
      <c r="BX85" s="35"/>
      <c r="BY85" s="35"/>
      <c r="BZ85" s="35"/>
      <c r="CA85" s="35"/>
      <c r="CB85" s="35"/>
      <c r="CC85" s="35"/>
      <c r="CD85" s="35"/>
      <c r="CE85" s="35"/>
      <c r="CF85" s="35"/>
      <c r="CG85" s="35"/>
      <c r="CH85" s="35"/>
      <c r="CI85" s="35"/>
      <c r="CJ85" s="35"/>
      <c r="CK85" s="35"/>
      <c r="CL85" s="35"/>
      <c r="CM85" s="35"/>
      <c r="CN85" s="35"/>
      <c r="CO85" s="35"/>
      <c r="CP85" s="35"/>
      <c r="CQ85" s="35"/>
      <c r="CR85" s="35"/>
      <c r="CS85" s="35"/>
      <c r="CT85" s="35"/>
      <c r="CU85" s="35"/>
      <c r="CV85" s="35"/>
      <c r="CW85" s="35"/>
      <c r="CX85" s="35"/>
      <c r="CY85" s="35"/>
      <c r="CZ85" s="35"/>
      <c r="DA85" s="35"/>
      <c r="DB85" s="35"/>
      <c r="DC85" s="35"/>
      <c r="DD85" s="35"/>
      <c r="DE85" s="35"/>
      <c r="DF85" s="35"/>
      <c r="DG85" s="35"/>
      <c r="DH85" s="35"/>
      <c r="DI85" s="35"/>
      <c r="DJ85" s="35"/>
      <c r="DK85" s="35"/>
      <c r="DL85" s="35"/>
      <c r="DM85" s="35"/>
      <c r="DN85" s="35"/>
      <c r="DO85" t="str">
        <f t="shared" si="11"/>
        <v/>
      </c>
    </row>
    <row r="86" spans="5:119" ht="18.95" customHeight="1" x14ac:dyDescent="0.25">
      <c r="E86" s="20"/>
      <c r="F86" s="20"/>
      <c r="G86" s="20"/>
      <c r="H86" s="20"/>
      <c r="K86" s="21"/>
      <c r="L86" t="str">
        <f t="shared" ca="1" si="12"/>
        <v/>
      </c>
      <c r="O86" s="23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5"/>
      <c r="BM86" s="35"/>
      <c r="BN86" s="35"/>
      <c r="BO86" s="35"/>
      <c r="BP86" s="35"/>
      <c r="BQ86" s="35"/>
      <c r="BR86" s="35"/>
      <c r="BS86" s="35"/>
      <c r="BT86" s="35"/>
      <c r="BU86" s="35"/>
      <c r="BV86" s="35"/>
      <c r="BW86" s="35"/>
      <c r="BX86" s="35"/>
      <c r="BY86" s="35"/>
      <c r="BZ86" s="35"/>
      <c r="CA86" s="35"/>
      <c r="CB86" s="35"/>
      <c r="CC86" s="35"/>
      <c r="CD86" s="35"/>
      <c r="CE86" s="35"/>
      <c r="CF86" s="35"/>
      <c r="CG86" s="35"/>
      <c r="CH86" s="35"/>
      <c r="CI86" s="35"/>
      <c r="CJ86" s="35"/>
      <c r="CK86" s="35"/>
      <c r="CL86" s="35"/>
      <c r="CM86" s="35"/>
      <c r="CN86" s="35"/>
      <c r="CO86" s="35"/>
      <c r="CP86" s="35"/>
      <c r="CQ86" s="35"/>
      <c r="CR86" s="35"/>
      <c r="CS86" s="35"/>
      <c r="CT86" s="35"/>
      <c r="CU86" s="35"/>
      <c r="CV86" s="35"/>
      <c r="CW86" s="35"/>
      <c r="CX86" s="35"/>
      <c r="CY86" s="35"/>
      <c r="CZ86" s="35"/>
      <c r="DA86" s="35"/>
      <c r="DB86" s="35"/>
      <c r="DC86" s="35"/>
      <c r="DD86" s="35"/>
      <c r="DE86" s="35"/>
      <c r="DF86" s="35"/>
      <c r="DG86" s="35"/>
      <c r="DH86" s="35"/>
      <c r="DI86" s="35"/>
      <c r="DJ86" s="35"/>
      <c r="DK86" s="35"/>
      <c r="DL86" s="35"/>
      <c r="DM86" s="35"/>
      <c r="DN86" s="35"/>
      <c r="DO86" t="str">
        <f t="shared" si="11"/>
        <v/>
      </c>
    </row>
    <row r="87" spans="5:119" ht="18.95" customHeight="1" x14ac:dyDescent="0.25">
      <c r="E87" s="20"/>
      <c r="F87" s="20"/>
      <c r="G87" s="20"/>
      <c r="H87" s="20"/>
      <c r="K87" s="21"/>
      <c r="L87" t="str">
        <f t="shared" ca="1" si="12"/>
        <v/>
      </c>
      <c r="O87" s="31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5"/>
      <c r="BM87" s="35"/>
      <c r="BN87" s="35"/>
      <c r="BO87" s="35"/>
      <c r="BP87" s="35"/>
      <c r="BQ87" s="35"/>
      <c r="BR87" s="35"/>
      <c r="BS87" s="35"/>
      <c r="BT87" s="35"/>
      <c r="BU87" s="35"/>
      <c r="BV87" s="35"/>
      <c r="BW87" s="35"/>
      <c r="BX87" s="35"/>
      <c r="BY87" s="35"/>
      <c r="BZ87" s="35"/>
      <c r="CA87" s="35"/>
      <c r="CB87" s="35"/>
      <c r="CC87" s="35"/>
      <c r="CD87" s="35"/>
      <c r="CE87" s="35"/>
      <c r="CF87" s="35"/>
      <c r="CG87" s="35"/>
      <c r="CH87" s="35"/>
      <c r="CI87" s="35"/>
      <c r="CJ87" s="35"/>
      <c r="CK87" s="35"/>
      <c r="CL87" s="35"/>
      <c r="CM87" s="35"/>
      <c r="CN87" s="35"/>
      <c r="CO87" s="35"/>
      <c r="CP87" s="35"/>
      <c r="CQ87" s="35"/>
      <c r="CR87" s="35"/>
      <c r="CS87" s="35"/>
      <c r="CT87" s="35"/>
      <c r="CU87" s="35"/>
      <c r="CV87" s="35"/>
      <c r="CW87" s="35"/>
      <c r="CX87" s="35"/>
      <c r="CY87" s="35"/>
      <c r="CZ87" s="35"/>
      <c r="DA87" s="35"/>
      <c r="DB87" s="35"/>
      <c r="DC87" s="35"/>
      <c r="DD87" s="35"/>
      <c r="DE87" s="35"/>
      <c r="DF87" s="35"/>
      <c r="DG87" s="35"/>
      <c r="DH87" s="35"/>
      <c r="DI87" s="35"/>
      <c r="DJ87" s="35"/>
      <c r="DK87" s="35"/>
      <c r="DL87" s="35"/>
      <c r="DM87" s="35"/>
      <c r="DN87" s="35"/>
      <c r="DO87" t="str">
        <f t="shared" si="11"/>
        <v/>
      </c>
    </row>
    <row r="88" spans="5:119" ht="18.95" customHeight="1" x14ac:dyDescent="0.25">
      <c r="E88" s="20"/>
      <c r="F88" s="20"/>
      <c r="G88" s="20"/>
      <c r="H88" s="20"/>
      <c r="K88" s="21"/>
      <c r="L88" t="str">
        <f t="shared" ca="1" si="12"/>
        <v/>
      </c>
      <c r="O88" s="23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  <c r="BU88" s="35"/>
      <c r="BV88" s="35"/>
      <c r="BW88" s="35"/>
      <c r="BX88" s="35"/>
      <c r="BY88" s="35"/>
      <c r="BZ88" s="35"/>
      <c r="CA88" s="35"/>
      <c r="CB88" s="35"/>
      <c r="CC88" s="35"/>
      <c r="CD88" s="35"/>
      <c r="CE88" s="35"/>
      <c r="CF88" s="35"/>
      <c r="CG88" s="35"/>
      <c r="CH88" s="35"/>
      <c r="CI88" s="35"/>
      <c r="CJ88" s="35"/>
      <c r="CK88" s="35"/>
      <c r="CL88" s="35"/>
      <c r="CM88" s="35"/>
      <c r="CN88" s="35"/>
      <c r="CO88" s="35"/>
      <c r="CP88" s="35"/>
      <c r="CQ88" s="35"/>
      <c r="CR88" s="35"/>
      <c r="CS88" s="35"/>
      <c r="CT88" s="35"/>
      <c r="CU88" s="35"/>
      <c r="CV88" s="35"/>
      <c r="CW88" s="35"/>
      <c r="CX88" s="35"/>
      <c r="CY88" s="35"/>
      <c r="CZ88" s="35"/>
      <c r="DA88" s="35"/>
      <c r="DB88" s="35"/>
      <c r="DC88" s="35"/>
      <c r="DD88" s="35"/>
      <c r="DE88" s="35"/>
      <c r="DF88" s="35"/>
      <c r="DG88" s="35"/>
      <c r="DH88" s="35"/>
      <c r="DI88" s="35"/>
      <c r="DJ88" s="35"/>
      <c r="DK88" s="35"/>
      <c r="DL88" s="35"/>
      <c r="DM88" s="35"/>
      <c r="DN88" s="35"/>
      <c r="DO88" t="str">
        <f t="shared" si="11"/>
        <v/>
      </c>
    </row>
    <row r="89" spans="5:119" ht="18.95" customHeight="1" x14ac:dyDescent="0.25">
      <c r="E89" s="20"/>
      <c r="F89" s="20"/>
      <c r="G89" s="20"/>
      <c r="H89" s="20"/>
      <c r="K89" s="21"/>
      <c r="L89" t="str">
        <f t="shared" ca="1" si="12"/>
        <v/>
      </c>
      <c r="O89" s="31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  <c r="BU89" s="35"/>
      <c r="BV89" s="35"/>
      <c r="BW89" s="35"/>
      <c r="BX89" s="35"/>
      <c r="BY89" s="35"/>
      <c r="BZ89" s="35"/>
      <c r="CA89" s="35"/>
      <c r="CB89" s="35"/>
      <c r="CC89" s="35"/>
      <c r="CD89" s="35"/>
      <c r="CE89" s="35"/>
      <c r="CF89" s="35"/>
      <c r="CG89" s="35"/>
      <c r="CH89" s="35"/>
      <c r="CI89" s="35"/>
      <c r="CJ89" s="35"/>
      <c r="CK89" s="35"/>
      <c r="CL89" s="35"/>
      <c r="CM89" s="35"/>
      <c r="CN89" s="35"/>
      <c r="CO89" s="35"/>
      <c r="CP89" s="35"/>
      <c r="CQ89" s="35"/>
      <c r="CR89" s="35"/>
      <c r="CS89" s="35"/>
      <c r="CT89" s="35"/>
      <c r="CU89" s="35"/>
      <c r="CV89" s="35"/>
      <c r="CW89" s="35"/>
      <c r="CX89" s="35"/>
      <c r="CY89" s="35"/>
      <c r="CZ89" s="35"/>
      <c r="DA89" s="35"/>
      <c r="DB89" s="35"/>
      <c r="DC89" s="35"/>
      <c r="DD89" s="35"/>
      <c r="DE89" s="35"/>
      <c r="DF89" s="35"/>
      <c r="DG89" s="35"/>
      <c r="DH89" s="35"/>
      <c r="DI89" s="35"/>
      <c r="DJ89" s="35"/>
      <c r="DK89" s="35"/>
      <c r="DL89" s="35"/>
      <c r="DM89" s="35"/>
      <c r="DN89" s="35"/>
      <c r="DO89" t="str">
        <f t="shared" si="11"/>
        <v/>
      </c>
    </row>
    <row r="90" spans="5:119" ht="18.95" customHeight="1" x14ac:dyDescent="0.25">
      <c r="E90" s="20"/>
      <c r="F90" s="20"/>
      <c r="G90" s="20"/>
      <c r="H90" s="20"/>
      <c r="K90" s="21"/>
      <c r="L90" t="str">
        <f t="shared" ca="1" si="12"/>
        <v/>
      </c>
      <c r="O90" s="23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5"/>
      <c r="BZ90" s="35"/>
      <c r="CA90" s="35"/>
      <c r="CB90" s="35"/>
      <c r="CC90" s="35"/>
      <c r="CD90" s="35"/>
      <c r="CE90" s="35"/>
      <c r="CF90" s="35"/>
      <c r="CG90" s="35"/>
      <c r="CH90" s="35"/>
      <c r="CI90" s="35"/>
      <c r="CJ90" s="35"/>
      <c r="CK90" s="35"/>
      <c r="CL90" s="35"/>
      <c r="CM90" s="35"/>
      <c r="CN90" s="35"/>
      <c r="CO90" s="35"/>
      <c r="CP90" s="35"/>
      <c r="CQ90" s="35"/>
      <c r="CR90" s="35"/>
      <c r="CS90" s="35"/>
      <c r="CT90" s="35"/>
      <c r="CU90" s="35"/>
      <c r="CV90" s="35"/>
      <c r="CW90" s="35"/>
      <c r="CX90" s="35"/>
      <c r="CY90" s="35"/>
      <c r="CZ90" s="35"/>
      <c r="DA90" s="35"/>
      <c r="DB90" s="35"/>
      <c r="DC90" s="35"/>
      <c r="DD90" s="35"/>
      <c r="DE90" s="35"/>
      <c r="DF90" s="35"/>
      <c r="DG90" s="35"/>
      <c r="DH90" s="35"/>
      <c r="DI90" s="35"/>
      <c r="DJ90" s="35"/>
      <c r="DK90" s="35"/>
      <c r="DL90" s="35"/>
      <c r="DM90" s="35"/>
      <c r="DN90" s="35"/>
      <c r="DO90" t="str">
        <f t="shared" si="11"/>
        <v/>
      </c>
    </row>
  </sheetData>
  <mergeCells count="6">
    <mergeCell ref="H4:K4"/>
    <mergeCell ref="H5:K5"/>
    <mergeCell ref="B1:F1"/>
    <mergeCell ref="B2:J2"/>
    <mergeCell ref="B4:C4"/>
    <mergeCell ref="B5:C5"/>
  </mergeCells>
  <conditionalFormatting sqref="L29:L90 L9:L19">
    <cfRule type="cellIs" dxfId="20" priority="4" stopIfTrue="1" operator="equal">
      <formula>"On Track"</formula>
    </cfRule>
    <cfRule type="cellIs" dxfId="19" priority="5" stopIfTrue="1" operator="equal">
      <formula>"Behind"</formula>
    </cfRule>
    <cfRule type="cellIs" dxfId="18" priority="6" stopIfTrue="1" operator="equal">
      <formula>"Complete"</formula>
    </cfRule>
    <cfRule type="cellIs" dxfId="17" priority="7" stopIfTrue="1" operator="equal">
      <formula>"Not Started"</formula>
    </cfRule>
  </conditionalFormatting>
  <conditionalFormatting sqref="O8:DN8">
    <cfRule type="expression" dxfId="16" priority="11" stopIfTrue="1">
      <formula>AND(O$8&lt;&gt;"",TODAY()&gt;=O$8,TODAY()&lt;O$8+7)</formula>
    </cfRule>
  </conditionalFormatting>
  <conditionalFormatting sqref="K29:K90 K9:K19">
    <cfRule type="dataBar" priority="15">
      <dataBar>
        <cfvo type="num" val="0"/>
        <cfvo type="num" val="1"/>
        <color rgb="FF2563EB"/>
      </dataBar>
      <extLst>
        <ext xmlns:x14="http://schemas.microsoft.com/office/spreadsheetml/2009/9/main" uri="{B025F937-C7B1-47D3-B67F-A62EFF666E3E}">
          <x14:id>{EA2F1A31-A6F7-4DC9-9214-7A9007FE2873}</x14:id>
        </ext>
      </extLst>
    </cfRule>
  </conditionalFormatting>
  <conditionalFormatting sqref="O9:DN9 O18:DN18 P10:DN17 O29:DN90 P19:DN19">
    <cfRule type="expression" dxfId="15" priority="16" stopIfTrue="1">
      <formula>AND(O$8&lt;&gt;"",O$8+6&gt;=$E9,O$8&lt;=$G9,$J9&lt;&gt;"",$J9&gt;$I9)</formula>
    </cfRule>
    <cfRule type="expression" dxfId="14" priority="17" stopIfTrue="1">
      <formula>AND(O$8&lt;&gt;"",O$8+6&gt;=$E9,O$8&lt;=$G9,OR($J9="",$J9&lt;=$I9))</formula>
    </cfRule>
  </conditionalFormatting>
  <dataValidations count="2">
    <dataValidation type="whole" allowBlank="1" showInputMessage="1" showErrorMessage="1" sqref="I9:J19 I29:J90" xr:uid="{78B32D8B-EE6F-4DF9-A78E-BB5F13E29196}">
      <formula1>1</formula1>
      <formula2>365</formula2>
    </dataValidation>
    <dataValidation type="decimal" allowBlank="1" showInputMessage="1" showErrorMessage="1" sqref="K9:K19 K29:K90" xr:uid="{786F4D37-1305-4CAD-A7BA-5A6ECC188948}">
      <formula1>0</formula1>
      <formula2>1</formula2>
    </dataValidation>
  </dataValidations>
  <hyperlinks>
    <hyperlink ref="B1" location="'Program Dashboard'!A1" tooltip="Return to Program Dashboard" display="‹  Program Dashboard" xr:uid="{70DA5385-DA94-41E1-AAEC-AB30E1EE3BB6}"/>
  </hyperlinks>
  <pageMargins left="0.75" right="0.75" top="1" bottom="1" header="0.5" footer="0.5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A2F1A31-A6F7-4DC9-9214-7A9007FE2873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K29:K90 K9:K19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9780F-90D4-43FD-81A1-AB2A7B00463C}">
  <sheetPr codeName="Sheet3">
    <tabColor rgb="FF0F1E2E"/>
  </sheetPr>
  <dimension ref="A1:DO96"/>
  <sheetViews>
    <sheetView showGridLines="0" workbookViewId="0">
      <pane xSplit="1" ySplit="8" topLeftCell="B9" activePane="bottomRight" state="frozen"/>
      <selection pane="topRight"/>
      <selection pane="bottomLeft"/>
      <selection pane="bottomRight" activeCell="B1" sqref="B1:F1"/>
    </sheetView>
  </sheetViews>
  <sheetFormatPr defaultRowHeight="15" x14ac:dyDescent="0.25"/>
  <cols>
    <col min="1" max="1" width="2.140625" hidden="1" customWidth="1"/>
    <col min="2" max="2" width="13.42578125" customWidth="1"/>
    <col min="3" max="3" width="29" customWidth="1"/>
    <col min="4" max="4" width="13" customWidth="1"/>
    <col min="5" max="5" width="13.42578125" customWidth="1"/>
    <col min="6" max="6" width="19.28515625" customWidth="1"/>
    <col min="7" max="7" width="13" customWidth="1"/>
    <col min="8" max="8" width="13.85546875" customWidth="1"/>
    <col min="9" max="9" width="13.7109375" customWidth="1"/>
    <col min="10" max="10" width="11" customWidth="1"/>
    <col min="11" max="11" width="12" customWidth="1"/>
    <col min="12" max="12" width="28" customWidth="1"/>
    <col min="13" max="13" width="30.5703125" customWidth="1"/>
    <col min="14" max="14" width="13.85546875" customWidth="1"/>
    <col min="15" max="31" width="5.7109375" bestFit="1" customWidth="1"/>
    <col min="32" max="32" width="8.28515625" customWidth="1"/>
    <col min="33" max="41" width="5.7109375" bestFit="1" customWidth="1"/>
    <col min="42" max="118" width="5.140625" customWidth="1"/>
    <col min="119" max="119" width="0" hidden="1" customWidth="1"/>
  </cols>
  <sheetData>
    <row r="1" spans="1:119" ht="15" customHeight="1" x14ac:dyDescent="0.25">
      <c r="A1" s="1"/>
      <c r="B1" s="46" t="s">
        <v>38</v>
      </c>
      <c r="C1" s="47"/>
      <c r="D1" s="47"/>
      <c r="E1" s="47"/>
      <c r="F1" s="47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</row>
    <row r="2" spans="1:119" ht="30" customHeight="1" x14ac:dyDescent="0.25">
      <c r="A2" s="1"/>
      <c r="B2" s="48" t="s">
        <v>63</v>
      </c>
      <c r="C2" s="47"/>
      <c r="D2" s="47"/>
      <c r="E2" s="47"/>
      <c r="F2" s="47"/>
      <c r="G2" s="47"/>
      <c r="H2" s="47"/>
      <c r="I2" s="47"/>
      <c r="J2" s="47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</row>
    <row r="3" spans="1:119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</row>
    <row r="4" spans="1:119" ht="21.95" customHeight="1" x14ac:dyDescent="0.25">
      <c r="A4" s="1"/>
      <c r="B4" s="49" t="s">
        <v>18</v>
      </c>
      <c r="C4" s="50"/>
      <c r="D4" s="14" t="s">
        <v>19</v>
      </c>
      <c r="E4" s="27" t="s">
        <v>20</v>
      </c>
      <c r="F4" s="39"/>
      <c r="G4" s="17" t="s">
        <v>21</v>
      </c>
      <c r="H4" s="51" t="s">
        <v>22</v>
      </c>
      <c r="I4" s="52"/>
      <c r="J4" s="52"/>
      <c r="K4" s="52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</row>
    <row r="5" spans="1:119" ht="26.1" customHeight="1" x14ac:dyDescent="0.25">
      <c r="A5" s="1"/>
      <c r="B5" s="53">
        <v>46085</v>
      </c>
      <c r="C5" s="50"/>
      <c r="D5" s="15">
        <f>IF(COUNT(G9:G96)=0,"",MAX(G9:G96))</f>
        <v>46302</v>
      </c>
      <c r="E5" s="28">
        <f>IFERROR(SUMPRODUCT(I9:I96,K9:K96)/SUM(I9:I96),0)</f>
        <v>-0.17901234567901234</v>
      </c>
      <c r="F5" s="40"/>
      <c r="G5" s="16" t="str">
        <f ca="1">IF(E5&gt;=1,"Complete",IF(COUNTIF(L9:L96,"Behind")&gt;0,"Behind",IF(AND(COUNTIF(C9:C96,"&lt;&gt;")&gt;0,COUNTIF(L9:L96,"Not Started")=COUNTIF(C9:C96,"&lt;&gt;")),"Not Started","On Track")))</f>
        <v>On Track</v>
      </c>
      <c r="H5" s="54">
        <f ca="1">D5-TODAY()</f>
        <v>113</v>
      </c>
      <c r="I5" s="55"/>
      <c r="J5" s="55"/>
      <c r="K5" s="55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</row>
    <row r="6" spans="1:119" ht="18" customHeight="1" x14ac:dyDescent="0.3">
      <c r="A6" s="1"/>
      <c r="B6" s="44" t="s">
        <v>23</v>
      </c>
      <c r="C6" s="43" t="str">
        <f ca="1">IFERROR(INDEX(C9:C96,MATCH(0,DO9:DO96,0)),"Program Complete")</f>
        <v xml:space="preserve"> -4022 subcomponents</v>
      </c>
      <c r="D6" s="1"/>
      <c r="E6" s="1"/>
      <c r="F6" s="1"/>
      <c r="G6" s="1"/>
      <c r="H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</row>
    <row r="7" spans="1:119" ht="1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</row>
    <row r="8" spans="1:119" ht="30" customHeight="1" x14ac:dyDescent="0.25">
      <c r="A8" s="1"/>
      <c r="B8" s="4" t="s">
        <v>24</v>
      </c>
      <c r="C8" s="4" t="s">
        <v>25</v>
      </c>
      <c r="D8" s="4" t="s">
        <v>26</v>
      </c>
      <c r="E8" s="4" t="s">
        <v>27</v>
      </c>
      <c r="F8" s="4" t="s">
        <v>28</v>
      </c>
      <c r="G8" s="4" t="s">
        <v>29</v>
      </c>
      <c r="H8" s="4" t="s">
        <v>30</v>
      </c>
      <c r="I8" s="4" t="s">
        <v>35</v>
      </c>
      <c r="J8" s="4" t="s">
        <v>36</v>
      </c>
      <c r="K8" s="4" t="s">
        <v>31</v>
      </c>
      <c r="L8" s="4" t="s">
        <v>17</v>
      </c>
      <c r="M8" s="4"/>
      <c r="N8" s="41"/>
      <c r="O8" s="22">
        <f>$B$5</f>
        <v>46085</v>
      </c>
      <c r="P8" s="22">
        <f t="shared" ref="P8:CA8" si="0">IF(O8="","",IF(O8+7&gt;$D$5,"",O8+7))</f>
        <v>46092</v>
      </c>
      <c r="Q8" s="22">
        <f t="shared" si="0"/>
        <v>46099</v>
      </c>
      <c r="R8" s="22">
        <f t="shared" si="0"/>
        <v>46106</v>
      </c>
      <c r="S8" s="22">
        <f t="shared" si="0"/>
        <v>46113</v>
      </c>
      <c r="T8" s="22">
        <f t="shared" si="0"/>
        <v>46120</v>
      </c>
      <c r="U8" s="22">
        <f t="shared" si="0"/>
        <v>46127</v>
      </c>
      <c r="V8" s="22">
        <f t="shared" si="0"/>
        <v>46134</v>
      </c>
      <c r="W8" s="22">
        <f t="shared" si="0"/>
        <v>46141</v>
      </c>
      <c r="X8" s="22">
        <f t="shared" si="0"/>
        <v>46148</v>
      </c>
      <c r="Y8" s="22">
        <f t="shared" si="0"/>
        <v>46155</v>
      </c>
      <c r="Z8" s="22">
        <f t="shared" si="0"/>
        <v>46162</v>
      </c>
      <c r="AA8" s="22">
        <f t="shared" si="0"/>
        <v>46169</v>
      </c>
      <c r="AB8" s="22">
        <f t="shared" si="0"/>
        <v>46176</v>
      </c>
      <c r="AC8" s="22">
        <f t="shared" si="0"/>
        <v>46183</v>
      </c>
      <c r="AD8" s="22">
        <f t="shared" si="0"/>
        <v>46190</v>
      </c>
      <c r="AE8" s="22">
        <f t="shared" si="0"/>
        <v>46197</v>
      </c>
      <c r="AF8" s="22">
        <f t="shared" si="0"/>
        <v>46204</v>
      </c>
      <c r="AG8" s="22">
        <f t="shared" si="0"/>
        <v>46211</v>
      </c>
      <c r="AH8" s="22">
        <f t="shared" si="0"/>
        <v>46218</v>
      </c>
      <c r="AI8" s="22">
        <f t="shared" si="0"/>
        <v>46225</v>
      </c>
      <c r="AJ8" s="22">
        <f t="shared" si="0"/>
        <v>46232</v>
      </c>
      <c r="AK8" s="22">
        <f t="shared" si="0"/>
        <v>46239</v>
      </c>
      <c r="AL8" s="22">
        <f t="shared" si="0"/>
        <v>46246</v>
      </c>
      <c r="AM8" s="22">
        <f t="shared" si="0"/>
        <v>46253</v>
      </c>
      <c r="AN8" s="22">
        <f t="shared" si="0"/>
        <v>46260</v>
      </c>
      <c r="AO8" s="22">
        <f t="shared" si="0"/>
        <v>46267</v>
      </c>
      <c r="AP8" s="22">
        <f t="shared" si="0"/>
        <v>46274</v>
      </c>
      <c r="AQ8" s="22">
        <f t="shared" si="0"/>
        <v>46281</v>
      </c>
      <c r="AR8" s="22">
        <f t="shared" si="0"/>
        <v>46288</v>
      </c>
      <c r="AS8" s="22">
        <f t="shared" si="0"/>
        <v>46295</v>
      </c>
      <c r="AT8" s="22">
        <f t="shared" si="0"/>
        <v>46302</v>
      </c>
      <c r="AU8" s="22" t="str">
        <f t="shared" si="0"/>
        <v/>
      </c>
      <c r="AV8" s="22" t="str">
        <f t="shared" si="0"/>
        <v/>
      </c>
      <c r="AW8" s="22" t="str">
        <f t="shared" si="0"/>
        <v/>
      </c>
      <c r="AX8" s="22" t="str">
        <f t="shared" si="0"/>
        <v/>
      </c>
      <c r="AY8" s="22" t="str">
        <f t="shared" si="0"/>
        <v/>
      </c>
      <c r="AZ8" s="22" t="str">
        <f t="shared" si="0"/>
        <v/>
      </c>
      <c r="BA8" s="22" t="str">
        <f t="shared" si="0"/>
        <v/>
      </c>
      <c r="BB8" s="22" t="str">
        <f t="shared" si="0"/>
        <v/>
      </c>
      <c r="BC8" s="22" t="str">
        <f t="shared" si="0"/>
        <v/>
      </c>
      <c r="BD8" s="22" t="str">
        <f t="shared" si="0"/>
        <v/>
      </c>
      <c r="BE8" s="22" t="str">
        <f t="shared" si="0"/>
        <v/>
      </c>
      <c r="BF8" s="22" t="str">
        <f t="shared" si="0"/>
        <v/>
      </c>
      <c r="BG8" s="22" t="str">
        <f t="shared" si="0"/>
        <v/>
      </c>
      <c r="BH8" s="22" t="str">
        <f t="shared" si="0"/>
        <v/>
      </c>
      <c r="BI8" s="22" t="str">
        <f t="shared" si="0"/>
        <v/>
      </c>
      <c r="BJ8" s="22" t="str">
        <f t="shared" si="0"/>
        <v/>
      </c>
      <c r="BK8" s="22" t="str">
        <f t="shared" si="0"/>
        <v/>
      </c>
      <c r="BL8" s="22" t="str">
        <f t="shared" si="0"/>
        <v/>
      </c>
      <c r="BM8" s="22" t="str">
        <f t="shared" si="0"/>
        <v/>
      </c>
      <c r="BN8" s="22" t="str">
        <f t="shared" si="0"/>
        <v/>
      </c>
      <c r="BO8" s="22" t="str">
        <f t="shared" si="0"/>
        <v/>
      </c>
      <c r="BP8" s="22" t="str">
        <f t="shared" si="0"/>
        <v/>
      </c>
      <c r="BQ8" s="22" t="str">
        <f t="shared" si="0"/>
        <v/>
      </c>
      <c r="BR8" s="22" t="str">
        <f t="shared" si="0"/>
        <v/>
      </c>
      <c r="BS8" s="22" t="str">
        <f t="shared" si="0"/>
        <v/>
      </c>
      <c r="BT8" s="22" t="str">
        <f t="shared" si="0"/>
        <v/>
      </c>
      <c r="BU8" s="22" t="str">
        <f t="shared" si="0"/>
        <v/>
      </c>
      <c r="BV8" s="22" t="str">
        <f t="shared" si="0"/>
        <v/>
      </c>
      <c r="BW8" s="22" t="str">
        <f t="shared" si="0"/>
        <v/>
      </c>
      <c r="BX8" s="22" t="str">
        <f t="shared" si="0"/>
        <v/>
      </c>
      <c r="BY8" s="22" t="str">
        <f t="shared" si="0"/>
        <v/>
      </c>
      <c r="BZ8" s="22" t="str">
        <f t="shared" si="0"/>
        <v/>
      </c>
      <c r="CA8" s="22" t="str">
        <f t="shared" si="0"/>
        <v/>
      </c>
      <c r="CB8" s="22" t="str">
        <f t="shared" ref="CB8:DN8" si="1">IF(CA8="","",IF(CA8+7&gt;$D$5,"",CA8+7))</f>
        <v/>
      </c>
      <c r="CC8" s="22" t="str">
        <f t="shared" si="1"/>
        <v/>
      </c>
      <c r="CD8" s="22" t="str">
        <f t="shared" si="1"/>
        <v/>
      </c>
      <c r="CE8" s="22" t="str">
        <f t="shared" si="1"/>
        <v/>
      </c>
      <c r="CF8" s="22" t="str">
        <f t="shared" si="1"/>
        <v/>
      </c>
      <c r="CG8" s="22" t="str">
        <f t="shared" si="1"/>
        <v/>
      </c>
      <c r="CH8" s="22" t="str">
        <f t="shared" si="1"/>
        <v/>
      </c>
      <c r="CI8" s="22" t="str">
        <f t="shared" si="1"/>
        <v/>
      </c>
      <c r="CJ8" s="22" t="str">
        <f t="shared" si="1"/>
        <v/>
      </c>
      <c r="CK8" s="22" t="str">
        <f t="shared" si="1"/>
        <v/>
      </c>
      <c r="CL8" s="22" t="str">
        <f t="shared" si="1"/>
        <v/>
      </c>
      <c r="CM8" s="22" t="str">
        <f t="shared" si="1"/>
        <v/>
      </c>
      <c r="CN8" s="22" t="str">
        <f t="shared" si="1"/>
        <v/>
      </c>
      <c r="CO8" s="22" t="str">
        <f t="shared" si="1"/>
        <v/>
      </c>
      <c r="CP8" s="22" t="str">
        <f t="shared" si="1"/>
        <v/>
      </c>
      <c r="CQ8" s="22" t="str">
        <f t="shared" si="1"/>
        <v/>
      </c>
      <c r="CR8" s="22" t="str">
        <f t="shared" si="1"/>
        <v/>
      </c>
      <c r="CS8" s="22" t="str">
        <f t="shared" si="1"/>
        <v/>
      </c>
      <c r="CT8" s="22" t="str">
        <f t="shared" si="1"/>
        <v/>
      </c>
      <c r="CU8" s="22" t="str">
        <f t="shared" si="1"/>
        <v/>
      </c>
      <c r="CV8" s="22" t="str">
        <f t="shared" si="1"/>
        <v/>
      </c>
      <c r="CW8" s="22" t="str">
        <f t="shared" si="1"/>
        <v/>
      </c>
      <c r="CX8" s="22" t="str">
        <f t="shared" si="1"/>
        <v/>
      </c>
      <c r="CY8" s="22" t="str">
        <f t="shared" si="1"/>
        <v/>
      </c>
      <c r="CZ8" s="22" t="str">
        <f t="shared" si="1"/>
        <v/>
      </c>
      <c r="DA8" s="22" t="str">
        <f t="shared" si="1"/>
        <v/>
      </c>
      <c r="DB8" s="22" t="str">
        <f t="shared" si="1"/>
        <v/>
      </c>
      <c r="DC8" s="22" t="str">
        <f t="shared" si="1"/>
        <v/>
      </c>
      <c r="DD8" s="22" t="str">
        <f t="shared" si="1"/>
        <v/>
      </c>
      <c r="DE8" s="22" t="str">
        <f t="shared" si="1"/>
        <v/>
      </c>
      <c r="DF8" s="22" t="str">
        <f t="shared" si="1"/>
        <v/>
      </c>
      <c r="DG8" s="22" t="str">
        <f t="shared" si="1"/>
        <v/>
      </c>
      <c r="DH8" s="22" t="str">
        <f t="shared" si="1"/>
        <v/>
      </c>
      <c r="DI8" s="22" t="str">
        <f t="shared" si="1"/>
        <v/>
      </c>
      <c r="DJ8" s="22" t="str">
        <f t="shared" si="1"/>
        <v/>
      </c>
      <c r="DK8" s="22" t="str">
        <f t="shared" si="1"/>
        <v/>
      </c>
      <c r="DL8" s="22" t="str">
        <f t="shared" si="1"/>
        <v/>
      </c>
      <c r="DM8" s="22" t="str">
        <f t="shared" si="1"/>
        <v/>
      </c>
      <c r="DN8" s="22" t="str">
        <f t="shared" si="1"/>
        <v/>
      </c>
    </row>
    <row r="9" spans="1:119" ht="19.149999999999999" customHeight="1" x14ac:dyDescent="0.25">
      <c r="A9" s="1"/>
      <c r="B9" s="11">
        <f>IF(C9="","",COUNTIF($C$9:C9,"&lt;&gt;"))</f>
        <v>1</v>
      </c>
      <c r="C9" s="11" t="s">
        <v>64</v>
      </c>
      <c r="D9" s="37" t="s">
        <v>79</v>
      </c>
      <c r="E9" s="18">
        <v>46111</v>
      </c>
      <c r="F9" s="18">
        <v>46111</v>
      </c>
      <c r="G9" s="18">
        <f>IF(OR(C9="",I9=""),"",WORKDAY.INTL(E9,IF(J9="",I9,J9)-1,"0000111",'Holiday Schedule'!$C$9:$C$18))</f>
      </c>
      <c r="H9" s="18">
        <v>46113</v>
      </c>
      <c r="I9" s="11">
        <f>H9-F9</f>
        <v>2</v>
      </c>
      <c r="J9" s="11">
        <v>2</v>
      </c>
      <c r="K9" s="7">
        <v>1</v>
      </c>
      <c r="L9" s="11" t="str">
        <f t="shared" ref="L9:L25" ca="1" si="3">IF(C9="","",IF(K9&gt;=1,"Complete",IF(TODAY()&lt;E9,"Not Started",IF(K9&gt;=NETWORKDAYS.INTL(E9,MIN(TODAY(),G9),"0001111")/NETWORKDAYS.INTL(E9,G9,"0001111"),"On Track","Behind"))))</f>
        <v>Complete</v>
      </c>
      <c r="M9" s="11"/>
      <c r="N9" s="36"/>
      <c r="O9" s="29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  <c r="BG9" s="32"/>
      <c r="BH9" s="32"/>
      <c r="BI9" s="32"/>
      <c r="BJ9" s="32"/>
      <c r="BK9" s="32"/>
      <c r="BL9" s="32"/>
      <c r="BM9" s="32"/>
      <c r="BN9" s="32"/>
      <c r="BO9" s="32"/>
      <c r="BP9" s="32"/>
      <c r="BQ9" s="32"/>
      <c r="BR9" s="32"/>
      <c r="BS9" s="32"/>
      <c r="BT9" s="32"/>
      <c r="BU9" s="32"/>
      <c r="BV9" s="32"/>
      <c r="BW9" s="32"/>
      <c r="BX9" s="32"/>
      <c r="BY9" s="32"/>
      <c r="BZ9" s="32"/>
      <c r="CA9" s="32"/>
      <c r="CB9" s="32"/>
      <c r="CC9" s="32"/>
      <c r="CD9" s="32"/>
      <c r="CE9" s="32"/>
      <c r="CF9" s="32"/>
      <c r="CG9" s="32"/>
      <c r="CH9" s="32"/>
      <c r="CI9" s="32"/>
      <c r="CJ9" s="32"/>
      <c r="CK9" s="32"/>
      <c r="CL9" s="32"/>
      <c r="CM9" s="32"/>
      <c r="CN9" s="32"/>
      <c r="CO9" s="32"/>
      <c r="CP9" s="32"/>
      <c r="CQ9" s="32"/>
      <c r="CR9" s="32"/>
      <c r="CS9" s="32"/>
      <c r="CT9" s="32"/>
      <c r="CU9" s="32"/>
      <c r="CV9" s="32"/>
      <c r="CW9" s="32"/>
      <c r="CX9" s="32"/>
      <c r="CY9" s="32"/>
      <c r="CZ9" s="32"/>
      <c r="DA9" s="32"/>
      <c r="DB9" s="32"/>
      <c r="DC9" s="32"/>
      <c r="DD9" s="32"/>
      <c r="DE9" s="32"/>
      <c r="DF9" s="32"/>
      <c r="DG9" s="32"/>
      <c r="DH9" s="32"/>
      <c r="DI9" s="32"/>
      <c r="DJ9" s="32"/>
      <c r="DK9" s="32"/>
      <c r="DL9" s="32"/>
      <c r="DM9" s="32"/>
      <c r="DN9" s="32"/>
      <c r="DO9">
        <f t="shared" ref="DO9:DO78" ca="1" si="4">IF(C9="","",IF(L9="Complete",1,0))</f>
        <v>1</v>
      </c>
    </row>
    <row r="10" spans="1:119" ht="18.95" customHeight="1" x14ac:dyDescent="0.25">
      <c r="A10" s="1"/>
      <c r="B10" s="13">
        <f>IF(C10="","",COUNTIF($C$9:C10,"&lt;&gt;"))</f>
        <v>2</v>
      </c>
      <c r="C10" s="13" t="s">
        <v>65</v>
      </c>
      <c r="D10" s="38" t="s">
        <v>80</v>
      </c>
      <c r="E10" s="19">
        <f>IF(C10="","",WORKDAY.INTL(G9,1,"0000111",'Holiday Schedule'!$C$9:$C$18))</f>
      </c>
      <c r="F10" s="19">
        <v>46114</v>
      </c>
      <c r="G10" s="19">
        <f>IF(OR(C10="",I10=""),"",WORKDAY.INTL(E10,IF(J10="",I10,J10)-1,"0000111",'Holiday Schedule'!$C$9:$C$18))</f>
      </c>
      <c r="H10" s="19">
        <v>46120</v>
      </c>
      <c r="I10" s="11">
        <f t="shared" ref="I10:I24" si="6">H10-F10</f>
        <v>6</v>
      </c>
      <c r="J10" s="13">
        <v>25</v>
      </c>
      <c r="K10" s="12">
        <v>1</v>
      </c>
      <c r="L10" s="13" t="str">
        <f t="shared" ca="1" si="3"/>
        <v>Complete</v>
      </c>
      <c r="M10" s="13"/>
      <c r="N10" s="42"/>
      <c r="O10" s="42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  <c r="DL10" s="33"/>
      <c r="DM10" s="33"/>
      <c r="DN10" s="33"/>
      <c r="DO10">
        <f t="shared" ca="1" si="4"/>
        <v>1</v>
      </c>
    </row>
    <row r="11" spans="1:119" ht="18.95" customHeight="1" x14ac:dyDescent="0.25">
      <c r="A11" s="1"/>
      <c r="B11" s="11">
        <f>IF(C11="","",COUNTIF($C$9:C11,"&lt;&gt;"))</f>
        <v>3</v>
      </c>
      <c r="C11" s="11" t="s">
        <v>66</v>
      </c>
      <c r="D11" s="37" t="s">
        <v>51</v>
      </c>
      <c r="E11" s="18">
        <v>46188</v>
      </c>
      <c r="F11" s="18">
        <v>46121</v>
      </c>
      <c r="G11" s="18">
        <f>IF(OR(C11="",I11=""),"",WORKDAY.INTL(E11,IF(J11="",I11,J11)-1,"0000111",'Holiday Schedule'!$C$9:$C$18))</f>
      </c>
      <c r="H11" s="18">
        <v>46134</v>
      </c>
      <c r="I11" s="11">
        <f t="shared" si="6"/>
        <v>13</v>
      </c>
      <c r="J11" s="11">
        <v>11</v>
      </c>
      <c r="K11" s="7">
        <v>0.5</v>
      </c>
      <c r="L11" s="11" t="str">
        <f t="shared" ca="1" si="3"/>
        <v>On Track</v>
      </c>
      <c r="M11" s="11"/>
      <c r="N11" s="36"/>
      <c r="O11" s="36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>
        <f t="shared" ca="1" si="4"/>
        <v>0</v>
      </c>
    </row>
    <row r="12" spans="1:119" ht="18.95" customHeight="1" x14ac:dyDescent="0.25">
      <c r="A12" s="1"/>
      <c r="B12" s="13">
        <f>IF(C12="","",COUNTIF($C$9:C12,"&lt;&gt;"))</f>
        <v>4</v>
      </c>
      <c r="C12" s="13" t="s">
        <v>67</v>
      </c>
      <c r="D12" s="38" t="s">
        <v>51</v>
      </c>
      <c r="E12" s="19">
        <f>IF(C12="","",WORKDAY.INTL(G11,1,"0000111",'Holiday Schedule'!$C$9:$C$18))</f>
      </c>
      <c r="F12" s="19">
        <v>46135</v>
      </c>
      <c r="G12" s="19">
        <f>IF(OR(C12="",I12=""),"",WORKDAY.INTL(E12,IF(J12="",I12,J12)-1,"0000111",'Holiday Schedule'!$C$9:$C$18))</f>
      </c>
      <c r="H12" s="19">
        <v>46140</v>
      </c>
      <c r="I12" s="11">
        <f t="shared" si="6"/>
        <v>5</v>
      </c>
      <c r="J12" s="13">
        <v>3</v>
      </c>
      <c r="K12" s="12">
        <v>0</v>
      </c>
      <c r="L12" s="13" t="str">
        <f t="shared" ca="1" si="3"/>
        <v>Not Started</v>
      </c>
      <c r="M12" s="13"/>
      <c r="N12" s="42"/>
      <c r="O12" s="42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3"/>
      <c r="CE12" s="33"/>
      <c r="CF12" s="33"/>
      <c r="CG12" s="33"/>
      <c r="CH12" s="33"/>
      <c r="CI12" s="33"/>
      <c r="CJ12" s="33"/>
      <c r="CK12" s="33"/>
      <c r="CL12" s="33"/>
      <c r="CM12" s="33"/>
      <c r="CN12" s="33"/>
      <c r="CO12" s="33"/>
      <c r="CP12" s="33"/>
      <c r="CQ12" s="33"/>
      <c r="CR12" s="33"/>
      <c r="CS12" s="33"/>
      <c r="CT12" s="33"/>
      <c r="CU12" s="33"/>
      <c r="CV12" s="33"/>
      <c r="CW12" s="33"/>
      <c r="CX12" s="33"/>
      <c r="CY12" s="33"/>
      <c r="CZ12" s="33"/>
      <c r="DA12" s="33"/>
      <c r="DB12" s="33"/>
      <c r="DC12" s="33"/>
      <c r="DD12" s="33"/>
      <c r="DE12" s="33"/>
      <c r="DF12" s="33"/>
      <c r="DG12" s="33"/>
      <c r="DH12" s="33"/>
      <c r="DI12" s="33"/>
      <c r="DJ12" s="33"/>
      <c r="DK12" s="33"/>
      <c r="DL12" s="33"/>
      <c r="DM12" s="33"/>
      <c r="DN12" s="33"/>
      <c r="DO12">
        <f t="shared" ca="1" si="4"/>
        <v>0</v>
      </c>
    </row>
    <row r="13" spans="1:119" ht="18.95" customHeight="1" x14ac:dyDescent="0.25">
      <c r="A13" s="1"/>
      <c r="B13" s="11">
        <f>IF(C13="","",COUNTIF($C$9:C13,"&lt;&gt;"))</f>
        <v>5</v>
      </c>
      <c r="C13" s="11" t="s">
        <v>68</v>
      </c>
      <c r="D13" s="37" t="s">
        <v>51</v>
      </c>
      <c r="E13" s="18">
        <f>IF(C13="","",WORKDAY.INTL(G12,1,"0000111",'Holiday Schedule'!$C$9:$C$18))</f>
      </c>
      <c r="F13" s="18">
        <v>46141</v>
      </c>
      <c r="G13" s="18">
        <f>IF(OR(C13="",I13=""),"",WORKDAY.INTL(E13,IF(J13="",I13,J13)-1,"0000111",'Holiday Schedule'!$C$9:$C$18))</f>
      </c>
      <c r="H13" s="18">
        <v>46154</v>
      </c>
      <c r="I13" s="11">
        <f t="shared" si="6"/>
        <v>13</v>
      </c>
      <c r="J13" s="11">
        <v>7</v>
      </c>
      <c r="K13" s="7">
        <v>0</v>
      </c>
      <c r="L13" s="11" t="str">
        <f t="shared" ca="1" si="3"/>
        <v>Not Started</v>
      </c>
      <c r="M13" s="11"/>
      <c r="N13" s="36"/>
      <c r="O13" s="36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/>
      <c r="DK13" s="34"/>
      <c r="DL13" s="34"/>
      <c r="DM13" s="34"/>
      <c r="DN13" s="34"/>
      <c r="DO13">
        <f t="shared" ca="1" si="4"/>
        <v>0</v>
      </c>
    </row>
    <row r="14" spans="1:119" ht="18.95" customHeight="1" x14ac:dyDescent="0.25">
      <c r="A14" s="1"/>
      <c r="B14" s="13">
        <f>IF(C14="","",COUNTIF($C$9:C14,"&lt;&gt;"))</f>
        <v>6</v>
      </c>
      <c r="C14" s="13" t="s">
        <v>69</v>
      </c>
      <c r="D14" s="38" t="s">
        <v>51</v>
      </c>
      <c r="E14" s="19">
        <f>IF(C14="","",WORKDAY.INTL(G13,1,"0000111",'Holiday Schedule'!$C$9:$C$18))</f>
      </c>
      <c r="F14" s="19">
        <v>46155</v>
      </c>
      <c r="G14" s="19">
        <f>IF(OR(C14="",I14=""),"",WORKDAY.INTL(E14,IF(J14="",I14,J14)-1,"0000111",'Holiday Schedule'!$C$9:$C$18))</f>
      </c>
      <c r="H14" s="19">
        <v>46160</v>
      </c>
      <c r="I14" s="11">
        <f t="shared" si="6"/>
        <v>5</v>
      </c>
      <c r="J14" s="13">
        <v>2</v>
      </c>
      <c r="K14" s="12">
        <v>0</v>
      </c>
      <c r="L14" s="13" t="str">
        <f t="shared" ca="1" si="3"/>
        <v>Not Started</v>
      </c>
      <c r="M14" s="13"/>
      <c r="N14" s="42"/>
      <c r="O14" s="42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s="33"/>
      <c r="CE14" s="33"/>
      <c r="CF14" s="33"/>
      <c r="CG14" s="33"/>
      <c r="CH14" s="33"/>
      <c r="CI14" s="33"/>
      <c r="CJ14" s="33"/>
      <c r="CK14" s="33"/>
      <c r="CL14" s="33"/>
      <c r="CM14" s="33"/>
      <c r="CN14" s="33"/>
      <c r="CO14" s="33"/>
      <c r="CP14" s="33"/>
      <c r="CQ14" s="33"/>
      <c r="CR14" s="33"/>
      <c r="CS14" s="33"/>
      <c r="CT14" s="33"/>
      <c r="CU14" s="33"/>
      <c r="CV14" s="33"/>
      <c r="CW14" s="33"/>
      <c r="CX14" s="33"/>
      <c r="CY14" s="33"/>
      <c r="CZ14" s="33"/>
      <c r="DA14" s="33"/>
      <c r="DB14" s="33"/>
      <c r="DC14" s="33"/>
      <c r="DD14" s="33"/>
      <c r="DE14" s="33"/>
      <c r="DF14" s="33"/>
      <c r="DG14" s="33"/>
      <c r="DH14" s="33"/>
      <c r="DI14" s="33"/>
      <c r="DJ14" s="33"/>
      <c r="DK14" s="33"/>
      <c r="DL14" s="33"/>
      <c r="DM14" s="33"/>
      <c r="DN14" s="33"/>
      <c r="DO14">
        <f t="shared" ca="1" si="4"/>
        <v>0</v>
      </c>
    </row>
    <row r="15" spans="1:119" ht="18.95" customHeight="1" x14ac:dyDescent="0.25">
      <c r="A15" s="1"/>
      <c r="B15" s="11">
        <f>IF(C15="","",COUNTIF($C$9:C15,"&lt;&gt;"))</f>
        <v>7</v>
      </c>
      <c r="C15" s="11" t="s">
        <v>70</v>
      </c>
      <c r="D15" s="37" t="s">
        <v>51</v>
      </c>
      <c r="E15" s="18">
        <f>IF(C15="","",WORKDAY.INTL(G14,1,"0000111",'Holiday Schedule'!$C$9:$C$18))</f>
      </c>
      <c r="F15" s="18">
        <v>46161</v>
      </c>
      <c r="G15" s="18">
        <f>IF(OR(C15="",I15=""),"",WORKDAY.INTL(E15,IF(J15="",I15,J15)-1,"0000111",'Holiday Schedule'!$C$9:$C$18))</f>
      </c>
      <c r="H15" s="18">
        <v>46170</v>
      </c>
      <c r="I15" s="11">
        <f t="shared" si="6"/>
        <v>9</v>
      </c>
      <c r="J15" s="11">
        <v>5</v>
      </c>
      <c r="K15" s="7">
        <v>0</v>
      </c>
      <c r="L15" s="11" t="str">
        <f t="shared" ca="1" si="3"/>
        <v>Not Started</v>
      </c>
      <c r="M15" s="11"/>
      <c r="N15" s="36"/>
      <c r="O15" s="36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>
        <f t="shared" ca="1" si="4"/>
        <v>0</v>
      </c>
    </row>
    <row r="16" spans="1:119" ht="27.6" customHeight="1" x14ac:dyDescent="0.25">
      <c r="A16" s="1"/>
      <c r="B16" s="13">
        <f>IF(C16="","",COUNTIF($C$9:C16,"&lt;&gt;"))</f>
        <v>8</v>
      </c>
      <c r="C16" s="13" t="s">
        <v>71</v>
      </c>
      <c r="D16" s="38" t="s">
        <v>51</v>
      </c>
      <c r="E16" s="19">
        <f>IF(C16="","",WORKDAY.INTL(G15,1,"0000111",'Holiday Schedule'!$C$9:$C$18))</f>
      </c>
      <c r="F16" s="19">
        <v>46174</v>
      </c>
      <c r="G16" s="19">
        <f>IF(OR(C16="",I16=""),"",WORKDAY.INTL(E16,IF(J16="",I16,J16)-1,"0000111",'Holiday Schedule'!$C$9:$C$18))</f>
      </c>
      <c r="H16" s="19">
        <v>46176</v>
      </c>
      <c r="I16" s="11">
        <f t="shared" si="6"/>
        <v>2</v>
      </c>
      <c r="J16" s="13">
        <v>2</v>
      </c>
      <c r="K16" s="12">
        <v>0</v>
      </c>
      <c r="L16" s="13" t="str">
        <f t="shared" ca="1" si="3"/>
        <v>Not Started</v>
      </c>
      <c r="M16" s="13"/>
      <c r="N16" s="42"/>
      <c r="O16" s="42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>
        <f t="shared" ca="1" si="4"/>
        <v>0</v>
      </c>
    </row>
    <row r="17" spans="1:119" ht="33.6" customHeight="1" x14ac:dyDescent="0.25">
      <c r="A17" s="1"/>
      <c r="B17" s="11">
        <f>IF(C17="","",COUNTIF($C$9:C17,"&lt;&gt;"))</f>
        <v>9</v>
      </c>
      <c r="C17" s="11" t="s">
        <v>72</v>
      </c>
      <c r="D17" s="37" t="s">
        <v>51</v>
      </c>
      <c r="E17" s="18">
        <f>IF(C17="","",WORKDAY.INTL(G16,1,"0000111",'Holiday Schedule'!$C$9:$C$18))</f>
      </c>
      <c r="F17" s="18">
        <v>46177</v>
      </c>
      <c r="G17" s="18">
        <f>IF(OR(C17="",I17=""),"",WORKDAY.INTL(E17,IF(J17="",I17,J17)-1,"0000111",'Holiday Schedule'!$C$9:$C$18))</f>
      </c>
      <c r="H17" s="18">
        <v>46190</v>
      </c>
      <c r="I17" s="11">
        <f t="shared" si="6"/>
        <v>13</v>
      </c>
      <c r="J17" s="11">
        <v>7</v>
      </c>
      <c r="K17" s="7">
        <v>0</v>
      </c>
      <c r="L17" s="11" t="str">
        <f t="shared" ca="1" si="3"/>
        <v>Not Started</v>
      </c>
      <c r="M17" s="11"/>
      <c r="N17" s="36"/>
      <c r="O17" s="36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>
        <f t="shared" ca="1" si="4"/>
        <v>0</v>
      </c>
    </row>
    <row r="18" spans="1:119" ht="18.95" customHeight="1" x14ac:dyDescent="0.25">
      <c r="A18" s="1"/>
      <c r="B18" s="13">
        <f>IF(C18="","",COUNTIF($C$9:C18,"&lt;&gt;"))</f>
        <v>10</v>
      </c>
      <c r="C18" s="13" t="s">
        <v>73</v>
      </c>
      <c r="D18" s="38" t="s">
        <v>51</v>
      </c>
      <c r="E18" s="19">
        <f>IF(C18="","",WORKDAY.INTL(G17,1,"0000111",'Holiday Schedule'!$C$9:$C$18))</f>
      </c>
      <c r="F18" s="19">
        <v>46191</v>
      </c>
      <c r="G18" s="19">
        <f>IF(OR(C18="",I18=""),"",WORKDAY.INTL(E18,IF(J18="",I18,J18)-1,"0000111",'Holiday Schedule'!$C$9:$C$18))</f>
      </c>
      <c r="H18" s="19">
        <v>46195</v>
      </c>
      <c r="I18" s="11">
        <f t="shared" si="6"/>
        <v>4</v>
      </c>
      <c r="J18" s="13">
        <v>1</v>
      </c>
      <c r="K18" s="12">
        <v>0</v>
      </c>
      <c r="L18" s="13" t="str">
        <f t="shared" ca="1" si="3"/>
        <v>Not Started</v>
      </c>
      <c r="M18" s="13"/>
      <c r="N18" s="42"/>
      <c r="O18" s="30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>
        <f t="shared" ca="1" si="4"/>
        <v>0</v>
      </c>
    </row>
    <row r="19" spans="1:119" s="11" customFormat="1" ht="18.95" customHeight="1" x14ac:dyDescent="0.25">
      <c r="B19" s="11">
        <f>IF(C19="","ADD",COUNTIF($C$9:C19,"&lt;&gt;"))</f>
        <v>11</v>
      </c>
      <c r="C19" s="11" t="s">
        <v>74</v>
      </c>
      <c r="D19" s="11" t="s">
        <v>51</v>
      </c>
      <c r="E19" s="18">
        <f>IF(C19="","",WORKDAY.INTL(G18,1,"0000111",'Holiday Schedule'!$C$9:$C$18))</f>
      </c>
      <c r="F19" s="18">
        <v>46205</v>
      </c>
      <c r="G19" s="18">
        <f>IF(OR(C19="",I19=""),"",WORKDAY.INTL(E19,IF(J19="",I19,J19)-1,"0000111",'Holiday Schedule'!$C$9:$C$18))</f>
      </c>
      <c r="H19" s="18">
        <v>46200</v>
      </c>
      <c r="I19" s="11">
        <f t="shared" si="6"/>
        <v>-5</v>
      </c>
      <c r="J19" s="11">
        <v>3</v>
      </c>
      <c r="K19" s="7">
        <v>0</v>
      </c>
      <c r="L19" s="11" t="str">
        <f t="shared" ref="L19:L24" ca="1" si="7">IF(C19="","",IF(K19&gt;=1,"Complete",IF(TODAY()&lt;E19,"Not Started",IF(K19&gt;=NETWORKDAYS.INTL(E19,MIN(TODAY(),G19),"0001111")/NETWORKDAYS.INTL(E19,G19,"0001111"),"On Track","Behind"))))</f>
        <v>Not Started</v>
      </c>
      <c r="DO19" s="11">
        <f t="shared" ca="1" si="4"/>
        <v>0</v>
      </c>
    </row>
    <row r="20" spans="1:119" s="13" customFormat="1" ht="18.95" customHeight="1" x14ac:dyDescent="0.25">
      <c r="B20" s="13">
        <f>IF(C20="","ADD",COUNTIF($C$9:C20,"&lt;&gt;"))</f>
        <v>12</v>
      </c>
      <c r="C20" s="13" t="s">
        <v>75</v>
      </c>
      <c r="D20" s="13" t="s">
        <v>51</v>
      </c>
      <c r="E20" s="19">
        <f>IF(C20="","",WORKDAY.INTL(G19,1,"0000111",'Holiday Schedule'!$C$9:$C$18))</f>
      </c>
      <c r="F20" s="19">
        <v>46219</v>
      </c>
      <c r="G20" s="19">
        <f>IF(OR(C20="",I20=""),"",WORKDAY.INTL(E20,IF(J20="",I20,J20)-1,"0000111",'Holiday Schedule'!$C$9:$C$18))</f>
      </c>
      <c r="H20" s="19">
        <v>46205</v>
      </c>
      <c r="I20" s="11">
        <f t="shared" si="6"/>
        <v>-14</v>
      </c>
      <c r="J20" s="13">
        <v>2</v>
      </c>
      <c r="K20" s="12">
        <v>0</v>
      </c>
      <c r="L20" s="13" t="str">
        <f t="shared" ca="1" si="7"/>
        <v>Not Started</v>
      </c>
      <c r="DO20" s="13">
        <f t="shared" ca="1" si="4"/>
        <v>0</v>
      </c>
    </row>
    <row r="21" spans="1:119" s="11" customFormat="1" ht="18.95" customHeight="1" x14ac:dyDescent="0.25">
      <c r="B21" s="11">
        <f>IF(C21="","ADD",COUNTIF($C$9:C21,"&lt;&gt;"))</f>
        <v>13</v>
      </c>
      <c r="C21" s="11" t="s">
        <v>76</v>
      </c>
      <c r="D21" s="11" t="s">
        <v>51</v>
      </c>
      <c r="E21" s="18">
        <f>IF(C21="","",WORKDAY.INTL(G20,1,"0000111",'Holiday Schedule'!$C$9:$C$18))</f>
      </c>
      <c r="F21" s="18">
        <v>46233</v>
      </c>
      <c r="G21" s="18">
        <f>IF(OR(C21="",I21=""),"",WORKDAY.INTL(E21,IF(J21="",I21,J21)-1,"0000111",'Holiday Schedule'!$C$9:$C$18))</f>
      </c>
      <c r="H21" s="18">
        <v>46210</v>
      </c>
      <c r="I21" s="11">
        <f t="shared" si="6"/>
        <v>-23</v>
      </c>
      <c r="J21" s="11">
        <v>7</v>
      </c>
      <c r="K21" s="7">
        <v>0</v>
      </c>
      <c r="L21" s="11" t="str">
        <f t="shared" ca="1" si="7"/>
        <v>Not Started</v>
      </c>
      <c r="DO21" s="11">
        <f t="shared" ca="1" si="4"/>
        <v>0</v>
      </c>
    </row>
    <row r="22" spans="1:119" s="13" customFormat="1" ht="18.95" customHeight="1" x14ac:dyDescent="0.25">
      <c r="B22" s="13">
        <f>IF(C22="","ADD",COUNTIF($C$9:C22,"&lt;&gt;"))</f>
        <v>14</v>
      </c>
      <c r="C22" s="13" t="s">
        <v>77</v>
      </c>
      <c r="D22" s="13" t="s">
        <v>34</v>
      </c>
      <c r="E22" s="19">
        <f>IF(C22="","",WORKDAY.INTL(G21,1,"0000111",'Holiday Schedule'!$C$9:$C$18))</f>
      </c>
      <c r="F22" s="19">
        <v>46247</v>
      </c>
      <c r="G22" s="19">
        <f>IF(OR(C22="",I22=""),"",WORKDAY.INTL(E22,IF(J22="",I22,J22)-1,"0000111",'Holiday Schedule'!$C$9:$C$18))</f>
      </c>
      <c r="H22" s="19">
        <v>46215</v>
      </c>
      <c r="I22" s="11">
        <f t="shared" si="6"/>
        <v>-32</v>
      </c>
      <c r="J22" s="13">
        <v>2</v>
      </c>
      <c r="K22" s="12">
        <v>0</v>
      </c>
      <c r="L22" s="13" t="str">
        <f t="shared" ca="1" si="7"/>
        <v>Not Started</v>
      </c>
      <c r="DO22" s="13">
        <f t="shared" ca="1" si="4"/>
        <v>0</v>
      </c>
    </row>
    <row r="23" spans="1:119" s="11" customFormat="1" ht="18.95" customHeight="1" x14ac:dyDescent="0.25">
      <c r="B23" s="11">
        <f>IF(C23="","ADD",COUNTIF($C$9:C23,"&lt;&gt;"))</f>
        <v>15</v>
      </c>
      <c r="C23" s="11" t="s">
        <v>78</v>
      </c>
      <c r="D23" s="11" t="s">
        <v>34</v>
      </c>
      <c r="E23" s="18">
        <f>IF(C23="","",WORKDAY.INTL(G22,1,"0000111",'Holiday Schedule'!$C$9:$C$18))</f>
      </c>
      <c r="F23" s="18">
        <v>46261</v>
      </c>
      <c r="G23" s="18">
        <f>IF(OR(C23="",I23=""),"",WORKDAY.INTL(E23,IF(J23="",I23,J23)-1,"0000111",'Holiday Schedule'!$C$9:$C$18))</f>
      </c>
      <c r="H23" s="18">
        <v>46220</v>
      </c>
      <c r="I23" s="11">
        <f t="shared" si="6"/>
        <v>-41</v>
      </c>
      <c r="J23" s="11">
        <v>2</v>
      </c>
      <c r="K23" s="7">
        <v>0</v>
      </c>
      <c r="L23" s="11" t="str">
        <f t="shared" ca="1" si="7"/>
        <v>Not Started</v>
      </c>
      <c r="DO23" s="11">
        <f t="shared" ca="1" si="4"/>
        <v>0</v>
      </c>
    </row>
    <row r="24" spans="1:119" s="13" customFormat="1" ht="18.95" customHeight="1" x14ac:dyDescent="0.25">
      <c r="B24" s="13">
        <f>IF(C24="","ADD",COUNTIF($C$9:C24,"&lt;&gt;"))</f>
        <v>16</v>
      </c>
      <c r="C24" s="13" t="s">
        <v>49</v>
      </c>
      <c r="E24" s="19">
        <f>IF(C24="","",WORKDAY.INTL(G23,1,"0000111",'Holiday Schedule'!$C$9:$C$18))</f>
      </c>
      <c r="F24" s="19">
        <v>46275</v>
      </c>
      <c r="G24" s="19">
        <v>46302</v>
      </c>
      <c r="H24" s="19">
        <v>46237</v>
      </c>
      <c r="I24" s="11">
        <f t="shared" si="6"/>
        <v>-38</v>
      </c>
      <c r="J24" s="13">
        <v>1</v>
      </c>
      <c r="K24" s="12">
        <v>0</v>
      </c>
      <c r="L24" s="13" t="str">
        <f t="shared" ca="1" si="7"/>
        <v>Not Started</v>
      </c>
      <c r="DO24" s="13">
        <f t="shared" ca="1" si="4"/>
        <v>0</v>
      </c>
    </row>
    <row r="25" spans="1:119" ht="33.6" customHeight="1" x14ac:dyDescent="0.25">
      <c r="A25" s="1"/>
      <c r="B25" s="11" t="str">
        <f>IF(C25="","ADD",COUNTIF($C$9:C25,"&lt;&gt;"))</f>
        <v>ADD</v>
      </c>
      <c r="C25" s="37"/>
      <c r="D25" s="37"/>
      <c r="E25" s="18" t="str">
        <f>IF(C25="","",WORKDAY.INTL(G24,1,"0000111",'Holiday Schedule'!$C$9:$C$18))</f>
        <v/>
      </c>
      <c r="F25" s="18" t="str">
        <f>IF(C25="","",E25)</f>
        <v/>
      </c>
      <c r="G25" s="18" t="str">
        <f>IF(OR(C25="",I25=""),"",WORKDAY.INTL(E25,IF(J25="",I25,J25)-1,"0000111",'Holiday Schedule'!$C$9:$C$18))</f>
        <v/>
      </c>
      <c r="H25" s="18" t="str">
        <f>IF(OR(C25="",I25=""),"",F25+(I25-1)+3*INT((WEEKDAY(F25,2)-1+(I25-1))/4))</f>
        <v/>
      </c>
      <c r="I25" s="11"/>
      <c r="J25" s="11"/>
      <c r="K25" s="7"/>
      <c r="L25" s="11" t="str">
        <f t="shared" ca="1" si="3"/>
        <v/>
      </c>
      <c r="M25" s="11"/>
      <c r="N25" s="36"/>
      <c r="O25" s="36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t="str">
        <f t="shared" si="4"/>
        <v/>
      </c>
    </row>
    <row r="26" spans="1:119" ht="18.95" customHeight="1" x14ac:dyDescent="0.25"/>
    <row r="27" spans="1:119" ht="18.95" customHeight="1" x14ac:dyDescent="0.25"/>
    <row r="28" spans="1:119" ht="18.95" customHeight="1" x14ac:dyDescent="0.25"/>
    <row r="29" spans="1:119" ht="18.95" customHeight="1" x14ac:dyDescent="0.25"/>
    <row r="30" spans="1:119" ht="18.95" customHeight="1" x14ac:dyDescent="0.25"/>
    <row r="31" spans="1:119" ht="18.95" customHeight="1" x14ac:dyDescent="0.25"/>
    <row r="32" spans="1:119" ht="18.95" customHeight="1" x14ac:dyDescent="0.25"/>
    <row r="33" spans="5:119" ht="18.95" customHeight="1" x14ac:dyDescent="0.25"/>
    <row r="34" spans="5:119" ht="18.95" customHeight="1" x14ac:dyDescent="0.25"/>
    <row r="35" spans="5:119" ht="18.95" customHeight="1" x14ac:dyDescent="0.25">
      <c r="E35" s="20"/>
      <c r="F35" s="20"/>
      <c r="G35" s="20"/>
      <c r="H35" s="20"/>
      <c r="K35" s="21"/>
      <c r="L35" t="str">
        <f t="shared" ref="L35:L96" ca="1" si="8">IF(C35="","",IF(K35&gt;=1,"Complete",IF(TODAY()&lt;E35,"Not Started",IF(K35&gt;=NETWORKDAYS.INTL(E35,MIN(TODAY(),G35),"0001111")/NETWORKDAYS.INTL(E35,G35,"0001111"),"On Track","Behind"))))</f>
        <v/>
      </c>
      <c r="O35" s="31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  <c r="BN35" s="35"/>
      <c r="BO35" s="35"/>
      <c r="BP35" s="35"/>
      <c r="BQ35" s="35"/>
      <c r="BR35" s="35"/>
      <c r="BS35" s="35"/>
      <c r="BT35" s="35"/>
      <c r="BU35" s="35"/>
      <c r="BV35" s="35"/>
      <c r="BW35" s="35"/>
      <c r="BX35" s="35"/>
      <c r="BY35" s="35"/>
      <c r="BZ35" s="35"/>
      <c r="CA35" s="35"/>
      <c r="CB35" s="35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  <c r="CX35" s="35"/>
      <c r="CY35" s="35"/>
      <c r="CZ35" s="35"/>
      <c r="DA35" s="35"/>
      <c r="DB35" s="35"/>
      <c r="DC35" s="35"/>
      <c r="DD35" s="35"/>
      <c r="DE35" s="35"/>
      <c r="DF35" s="35"/>
      <c r="DG35" s="35"/>
      <c r="DH35" s="35"/>
      <c r="DI35" s="35"/>
      <c r="DJ35" s="35"/>
      <c r="DK35" s="35"/>
      <c r="DL35" s="35"/>
      <c r="DM35" s="35"/>
      <c r="DN35" s="35"/>
      <c r="DO35" t="str">
        <f t="shared" si="4"/>
        <v/>
      </c>
    </row>
    <row r="36" spans="5:119" ht="18.95" customHeight="1" x14ac:dyDescent="0.25">
      <c r="E36" s="20"/>
      <c r="F36" s="20"/>
      <c r="G36" s="20"/>
      <c r="H36" s="20"/>
      <c r="K36" s="21"/>
      <c r="L36" t="str">
        <f t="shared" ca="1" si="8"/>
        <v/>
      </c>
      <c r="O36" s="23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5"/>
      <c r="BM36" s="35"/>
      <c r="BN36" s="35"/>
      <c r="BO36" s="35"/>
      <c r="BP36" s="35"/>
      <c r="BQ36" s="35"/>
      <c r="BR36" s="35"/>
      <c r="BS36" s="35"/>
      <c r="BT36" s="35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  <c r="CX36" s="35"/>
      <c r="CY36" s="35"/>
      <c r="CZ36" s="35"/>
      <c r="DA36" s="35"/>
      <c r="DB36" s="35"/>
      <c r="DC36" s="35"/>
      <c r="DD36" s="35"/>
      <c r="DE36" s="35"/>
      <c r="DF36" s="35"/>
      <c r="DG36" s="35"/>
      <c r="DH36" s="35"/>
      <c r="DI36" s="35"/>
      <c r="DJ36" s="35"/>
      <c r="DK36" s="35"/>
      <c r="DL36" s="35"/>
      <c r="DM36" s="35"/>
      <c r="DN36" s="35"/>
      <c r="DO36" t="str">
        <f t="shared" si="4"/>
        <v/>
      </c>
    </row>
    <row r="37" spans="5:119" ht="18.95" customHeight="1" x14ac:dyDescent="0.25">
      <c r="E37" s="20"/>
      <c r="F37" s="20"/>
      <c r="G37" s="20"/>
      <c r="H37" s="20"/>
      <c r="K37" s="21"/>
      <c r="L37" t="str">
        <f t="shared" ca="1" si="8"/>
        <v/>
      </c>
      <c r="O37" s="31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  <c r="CX37" s="35"/>
      <c r="CY37" s="35"/>
      <c r="CZ37" s="35"/>
      <c r="DA37" s="35"/>
      <c r="DB37" s="35"/>
      <c r="DC37" s="35"/>
      <c r="DD37" s="35"/>
      <c r="DE37" s="35"/>
      <c r="DF37" s="35"/>
      <c r="DG37" s="35"/>
      <c r="DH37" s="35"/>
      <c r="DI37" s="35"/>
      <c r="DJ37" s="35"/>
      <c r="DK37" s="35"/>
      <c r="DL37" s="35"/>
      <c r="DM37" s="35"/>
      <c r="DN37" s="35"/>
      <c r="DO37" t="str">
        <f t="shared" si="4"/>
        <v/>
      </c>
    </row>
    <row r="38" spans="5:119" ht="18.95" customHeight="1" x14ac:dyDescent="0.25">
      <c r="E38" s="20"/>
      <c r="F38" s="20"/>
      <c r="G38" s="20"/>
      <c r="H38" s="20"/>
      <c r="K38" s="21"/>
      <c r="L38" t="str">
        <f t="shared" ca="1" si="8"/>
        <v/>
      </c>
      <c r="O38" s="23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5"/>
      <c r="BM38" s="35"/>
      <c r="BN38" s="35"/>
      <c r="BO38" s="35"/>
      <c r="BP38" s="35"/>
      <c r="BQ38" s="35"/>
      <c r="BR38" s="35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35"/>
      <c r="CD38" s="35"/>
      <c r="CE38" s="35"/>
      <c r="CF38" s="35"/>
      <c r="CG38" s="35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35"/>
      <c r="CT38" s="35"/>
      <c r="CU38" s="35"/>
      <c r="CV38" s="35"/>
      <c r="CW38" s="35"/>
      <c r="CX38" s="35"/>
      <c r="CY38" s="35"/>
      <c r="CZ38" s="35"/>
      <c r="DA38" s="35"/>
      <c r="DB38" s="35"/>
      <c r="DC38" s="35"/>
      <c r="DD38" s="35"/>
      <c r="DE38" s="35"/>
      <c r="DF38" s="35"/>
      <c r="DG38" s="35"/>
      <c r="DH38" s="35"/>
      <c r="DI38" s="35"/>
      <c r="DJ38" s="35"/>
      <c r="DK38" s="35"/>
      <c r="DL38" s="35"/>
      <c r="DM38" s="35"/>
      <c r="DN38" s="35"/>
      <c r="DO38" t="str">
        <f t="shared" si="4"/>
        <v/>
      </c>
    </row>
    <row r="39" spans="5:119" ht="18.95" customHeight="1" x14ac:dyDescent="0.25">
      <c r="E39" s="20"/>
      <c r="F39" s="20"/>
      <c r="G39" s="20"/>
      <c r="H39" s="20"/>
      <c r="K39" s="21"/>
      <c r="L39" t="str">
        <f t="shared" ca="1" si="8"/>
        <v/>
      </c>
      <c r="O39" s="31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5"/>
      <c r="BM39" s="35"/>
      <c r="BN39" s="35"/>
      <c r="BO39" s="35"/>
      <c r="BP39" s="35"/>
      <c r="BQ39" s="35"/>
      <c r="BR39" s="35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35"/>
      <c r="CD39" s="35"/>
      <c r="CE39" s="35"/>
      <c r="CF39" s="35"/>
      <c r="CG39" s="35"/>
      <c r="CH39" s="35"/>
      <c r="CI39" s="35"/>
      <c r="CJ39" s="35"/>
      <c r="CK39" s="35"/>
      <c r="CL39" s="35"/>
      <c r="CM39" s="35"/>
      <c r="CN39" s="35"/>
      <c r="CO39" s="35"/>
      <c r="CP39" s="35"/>
      <c r="CQ39" s="35"/>
      <c r="CR39" s="35"/>
      <c r="CS39" s="35"/>
      <c r="CT39" s="35"/>
      <c r="CU39" s="35"/>
      <c r="CV39" s="35"/>
      <c r="CW39" s="35"/>
      <c r="CX39" s="35"/>
      <c r="CY39" s="35"/>
      <c r="CZ39" s="35"/>
      <c r="DA39" s="35"/>
      <c r="DB39" s="35"/>
      <c r="DC39" s="35"/>
      <c r="DD39" s="35"/>
      <c r="DE39" s="35"/>
      <c r="DF39" s="35"/>
      <c r="DG39" s="35"/>
      <c r="DH39" s="35"/>
      <c r="DI39" s="35"/>
      <c r="DJ39" s="35"/>
      <c r="DK39" s="35"/>
      <c r="DL39" s="35"/>
      <c r="DM39" s="35"/>
      <c r="DN39" s="35"/>
      <c r="DO39" t="str">
        <f t="shared" si="4"/>
        <v/>
      </c>
    </row>
    <row r="40" spans="5:119" ht="18.95" customHeight="1" x14ac:dyDescent="0.25">
      <c r="E40" s="20"/>
      <c r="F40" s="20"/>
      <c r="G40" s="20"/>
      <c r="H40" s="20"/>
      <c r="K40" s="21"/>
      <c r="L40" t="str">
        <f t="shared" ca="1" si="8"/>
        <v/>
      </c>
      <c r="O40" s="23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  <c r="CD40" s="35"/>
      <c r="CE40" s="35"/>
      <c r="CF40" s="35"/>
      <c r="CG40" s="35"/>
      <c r="CH40" s="35"/>
      <c r="CI40" s="35"/>
      <c r="CJ40" s="35"/>
      <c r="CK40" s="35"/>
      <c r="CL40" s="35"/>
      <c r="CM40" s="35"/>
      <c r="CN40" s="35"/>
      <c r="CO40" s="35"/>
      <c r="CP40" s="35"/>
      <c r="CQ40" s="35"/>
      <c r="CR40" s="35"/>
      <c r="CS40" s="35"/>
      <c r="CT40" s="35"/>
      <c r="CU40" s="35"/>
      <c r="CV40" s="35"/>
      <c r="CW40" s="35"/>
      <c r="CX40" s="35"/>
      <c r="CY40" s="35"/>
      <c r="CZ40" s="35"/>
      <c r="DA40" s="35"/>
      <c r="DB40" s="35"/>
      <c r="DC40" s="35"/>
      <c r="DD40" s="35"/>
      <c r="DE40" s="35"/>
      <c r="DF40" s="35"/>
      <c r="DG40" s="35"/>
      <c r="DH40" s="35"/>
      <c r="DI40" s="35"/>
      <c r="DJ40" s="35"/>
      <c r="DK40" s="35"/>
      <c r="DL40" s="35"/>
      <c r="DM40" s="35"/>
      <c r="DN40" s="35"/>
      <c r="DO40" t="str">
        <f t="shared" si="4"/>
        <v/>
      </c>
    </row>
    <row r="41" spans="5:119" ht="18.95" customHeight="1" x14ac:dyDescent="0.25">
      <c r="E41" s="20"/>
      <c r="F41" s="20"/>
      <c r="G41" s="20"/>
      <c r="H41" s="20"/>
      <c r="K41" s="21"/>
      <c r="L41" t="str">
        <f t="shared" ca="1" si="8"/>
        <v/>
      </c>
      <c r="O41" s="31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5"/>
      <c r="BM41" s="35"/>
      <c r="BN41" s="35"/>
      <c r="BO41" s="35"/>
      <c r="BP41" s="35"/>
      <c r="BQ41" s="35"/>
      <c r="BR41" s="35"/>
      <c r="BS41" s="35"/>
      <c r="BT41" s="35"/>
      <c r="BU41" s="35"/>
      <c r="BV41" s="35"/>
      <c r="BW41" s="35"/>
      <c r="BX41" s="35"/>
      <c r="BY41" s="35"/>
      <c r="BZ41" s="35"/>
      <c r="CA41" s="35"/>
      <c r="CB41" s="35"/>
      <c r="CC41" s="35"/>
      <c r="CD41" s="35"/>
      <c r="CE41" s="35"/>
      <c r="CF41" s="35"/>
      <c r="CG41" s="35"/>
      <c r="CH41" s="35"/>
      <c r="CI41" s="35"/>
      <c r="CJ41" s="35"/>
      <c r="CK41" s="35"/>
      <c r="CL41" s="35"/>
      <c r="CM41" s="35"/>
      <c r="CN41" s="35"/>
      <c r="CO41" s="35"/>
      <c r="CP41" s="35"/>
      <c r="CQ41" s="35"/>
      <c r="CR41" s="35"/>
      <c r="CS41" s="35"/>
      <c r="CT41" s="35"/>
      <c r="CU41" s="35"/>
      <c r="CV41" s="35"/>
      <c r="CW41" s="35"/>
      <c r="CX41" s="35"/>
      <c r="CY41" s="35"/>
      <c r="CZ41" s="35"/>
      <c r="DA41" s="35"/>
      <c r="DB41" s="35"/>
      <c r="DC41" s="35"/>
      <c r="DD41" s="35"/>
      <c r="DE41" s="35"/>
      <c r="DF41" s="35"/>
      <c r="DG41" s="35"/>
      <c r="DH41" s="35"/>
      <c r="DI41" s="35"/>
      <c r="DJ41" s="35"/>
      <c r="DK41" s="35"/>
      <c r="DL41" s="35"/>
      <c r="DM41" s="35"/>
      <c r="DN41" s="35"/>
      <c r="DO41" t="str">
        <f t="shared" si="4"/>
        <v/>
      </c>
    </row>
    <row r="42" spans="5:119" ht="18.95" customHeight="1" x14ac:dyDescent="0.25">
      <c r="E42" s="20"/>
      <c r="F42" s="20"/>
      <c r="G42" s="20"/>
      <c r="H42" s="20"/>
      <c r="K42" s="21"/>
      <c r="L42" t="str">
        <f t="shared" ca="1" si="8"/>
        <v/>
      </c>
      <c r="O42" s="23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/>
      <c r="CD42" s="35"/>
      <c r="CE42" s="35"/>
      <c r="CF42" s="35"/>
      <c r="CG42" s="35"/>
      <c r="CH42" s="35"/>
      <c r="CI42" s="35"/>
      <c r="CJ42" s="35"/>
      <c r="CK42" s="35"/>
      <c r="CL42" s="35"/>
      <c r="CM42" s="35"/>
      <c r="CN42" s="35"/>
      <c r="CO42" s="35"/>
      <c r="CP42" s="35"/>
      <c r="CQ42" s="35"/>
      <c r="CR42" s="35"/>
      <c r="CS42" s="35"/>
      <c r="CT42" s="35"/>
      <c r="CU42" s="35"/>
      <c r="CV42" s="35"/>
      <c r="CW42" s="35"/>
      <c r="CX42" s="35"/>
      <c r="CY42" s="35"/>
      <c r="CZ42" s="35"/>
      <c r="DA42" s="35"/>
      <c r="DB42" s="35"/>
      <c r="DC42" s="35"/>
      <c r="DD42" s="35"/>
      <c r="DE42" s="35"/>
      <c r="DF42" s="35"/>
      <c r="DG42" s="35"/>
      <c r="DH42" s="35"/>
      <c r="DI42" s="35"/>
      <c r="DJ42" s="35"/>
      <c r="DK42" s="35"/>
      <c r="DL42" s="35"/>
      <c r="DM42" s="35"/>
      <c r="DN42" s="35"/>
      <c r="DO42" t="str">
        <f t="shared" si="4"/>
        <v/>
      </c>
    </row>
    <row r="43" spans="5:119" ht="18.95" customHeight="1" x14ac:dyDescent="0.25">
      <c r="E43" s="20"/>
      <c r="F43" s="20"/>
      <c r="G43" s="20"/>
      <c r="H43" s="20"/>
      <c r="K43" s="21"/>
      <c r="L43" t="str">
        <f t="shared" ca="1" si="8"/>
        <v/>
      </c>
      <c r="O43" s="31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35"/>
      <c r="CD43" s="35"/>
      <c r="CE43" s="35"/>
      <c r="CF43" s="35"/>
      <c r="CG43" s="35"/>
      <c r="CH43" s="35"/>
      <c r="CI43" s="35"/>
      <c r="CJ43" s="35"/>
      <c r="CK43" s="35"/>
      <c r="CL43" s="35"/>
      <c r="CM43" s="35"/>
      <c r="CN43" s="35"/>
      <c r="CO43" s="35"/>
      <c r="CP43" s="35"/>
      <c r="CQ43" s="35"/>
      <c r="CR43" s="35"/>
      <c r="CS43" s="35"/>
      <c r="CT43" s="35"/>
      <c r="CU43" s="35"/>
      <c r="CV43" s="35"/>
      <c r="CW43" s="35"/>
      <c r="CX43" s="35"/>
      <c r="CY43" s="35"/>
      <c r="CZ43" s="35"/>
      <c r="DA43" s="35"/>
      <c r="DB43" s="35"/>
      <c r="DC43" s="35"/>
      <c r="DD43" s="35"/>
      <c r="DE43" s="35"/>
      <c r="DF43" s="35"/>
      <c r="DG43" s="35"/>
      <c r="DH43" s="35"/>
      <c r="DI43" s="35"/>
      <c r="DJ43" s="35"/>
      <c r="DK43" s="35"/>
      <c r="DL43" s="35"/>
      <c r="DM43" s="35"/>
      <c r="DN43" s="35"/>
      <c r="DO43" t="str">
        <f t="shared" si="4"/>
        <v/>
      </c>
    </row>
    <row r="44" spans="5:119" ht="18.95" customHeight="1" x14ac:dyDescent="0.25">
      <c r="E44" s="20"/>
      <c r="F44" s="20"/>
      <c r="G44" s="20"/>
      <c r="H44" s="20"/>
      <c r="K44" s="21"/>
      <c r="L44" t="str">
        <f t="shared" ca="1" si="8"/>
        <v/>
      </c>
      <c r="O44" s="23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5"/>
      <c r="BM44" s="35"/>
      <c r="BN44" s="35"/>
      <c r="BO44" s="35"/>
      <c r="BP44" s="35"/>
      <c r="BQ44" s="35"/>
      <c r="BR44" s="35"/>
      <c r="BS44" s="35"/>
      <c r="BT44" s="35"/>
      <c r="BU44" s="35"/>
      <c r="BV44" s="35"/>
      <c r="BW44" s="35"/>
      <c r="BX44" s="35"/>
      <c r="BY44" s="35"/>
      <c r="BZ44" s="35"/>
      <c r="CA44" s="35"/>
      <c r="CB44" s="35"/>
      <c r="CC44" s="35"/>
      <c r="CD44" s="35"/>
      <c r="CE44" s="35"/>
      <c r="CF44" s="35"/>
      <c r="CG44" s="35"/>
      <c r="CH44" s="35"/>
      <c r="CI44" s="35"/>
      <c r="CJ44" s="35"/>
      <c r="CK44" s="35"/>
      <c r="CL44" s="35"/>
      <c r="CM44" s="35"/>
      <c r="CN44" s="35"/>
      <c r="CO44" s="35"/>
      <c r="CP44" s="35"/>
      <c r="CQ44" s="35"/>
      <c r="CR44" s="35"/>
      <c r="CS44" s="35"/>
      <c r="CT44" s="35"/>
      <c r="CU44" s="35"/>
      <c r="CV44" s="35"/>
      <c r="CW44" s="35"/>
      <c r="CX44" s="35"/>
      <c r="CY44" s="35"/>
      <c r="CZ44" s="35"/>
      <c r="DA44" s="35"/>
      <c r="DB44" s="35"/>
      <c r="DC44" s="35"/>
      <c r="DD44" s="35"/>
      <c r="DE44" s="35"/>
      <c r="DF44" s="35"/>
      <c r="DG44" s="35"/>
      <c r="DH44" s="35"/>
      <c r="DI44" s="35"/>
      <c r="DJ44" s="35"/>
      <c r="DK44" s="35"/>
      <c r="DL44" s="35"/>
      <c r="DM44" s="35"/>
      <c r="DN44" s="35"/>
      <c r="DO44" t="str">
        <f t="shared" si="4"/>
        <v/>
      </c>
    </row>
    <row r="45" spans="5:119" ht="18.95" customHeight="1" x14ac:dyDescent="0.25">
      <c r="E45" s="20"/>
      <c r="F45" s="20"/>
      <c r="G45" s="20"/>
      <c r="H45" s="20"/>
      <c r="K45" s="21"/>
      <c r="L45" t="str">
        <f t="shared" ca="1" si="8"/>
        <v/>
      </c>
      <c r="O45" s="31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35"/>
      <c r="CT45" s="35"/>
      <c r="CU45" s="35"/>
      <c r="CV45" s="35"/>
      <c r="CW45" s="35"/>
      <c r="CX45" s="35"/>
      <c r="CY45" s="35"/>
      <c r="CZ45" s="35"/>
      <c r="DA45" s="35"/>
      <c r="DB45" s="35"/>
      <c r="DC45" s="35"/>
      <c r="DD45" s="35"/>
      <c r="DE45" s="35"/>
      <c r="DF45" s="35"/>
      <c r="DG45" s="35"/>
      <c r="DH45" s="35"/>
      <c r="DI45" s="35"/>
      <c r="DJ45" s="35"/>
      <c r="DK45" s="35"/>
      <c r="DL45" s="35"/>
      <c r="DM45" s="35"/>
      <c r="DN45" s="35"/>
      <c r="DO45" t="str">
        <f t="shared" si="4"/>
        <v/>
      </c>
    </row>
    <row r="46" spans="5:119" ht="18.95" customHeight="1" x14ac:dyDescent="0.25">
      <c r="E46" s="20"/>
      <c r="F46" s="20"/>
      <c r="G46" s="20"/>
      <c r="H46" s="20"/>
      <c r="K46" s="21"/>
      <c r="L46" t="str">
        <f t="shared" ca="1" si="8"/>
        <v/>
      </c>
      <c r="O46" s="23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  <c r="BN46" s="35"/>
      <c r="BO46" s="35"/>
      <c r="BP46" s="35"/>
      <c r="BQ46" s="35"/>
      <c r="BR46" s="35"/>
      <c r="BS46" s="35"/>
      <c r="BT46" s="35"/>
      <c r="BU46" s="35"/>
      <c r="BV46" s="35"/>
      <c r="BW46" s="35"/>
      <c r="BX46" s="35"/>
      <c r="BY46" s="35"/>
      <c r="BZ46" s="35"/>
      <c r="CA46" s="35"/>
      <c r="CB46" s="35"/>
      <c r="CC46" s="35"/>
      <c r="CD46" s="35"/>
      <c r="CE46" s="35"/>
      <c r="CF46" s="35"/>
      <c r="CG46" s="35"/>
      <c r="CH46" s="35"/>
      <c r="CI46" s="35"/>
      <c r="CJ46" s="35"/>
      <c r="CK46" s="35"/>
      <c r="CL46" s="35"/>
      <c r="CM46" s="35"/>
      <c r="CN46" s="35"/>
      <c r="CO46" s="35"/>
      <c r="CP46" s="35"/>
      <c r="CQ46" s="35"/>
      <c r="CR46" s="35"/>
      <c r="CS46" s="35"/>
      <c r="CT46" s="35"/>
      <c r="CU46" s="35"/>
      <c r="CV46" s="35"/>
      <c r="CW46" s="35"/>
      <c r="CX46" s="35"/>
      <c r="CY46" s="35"/>
      <c r="CZ46" s="35"/>
      <c r="DA46" s="35"/>
      <c r="DB46" s="35"/>
      <c r="DC46" s="35"/>
      <c r="DD46" s="35"/>
      <c r="DE46" s="35"/>
      <c r="DF46" s="35"/>
      <c r="DG46" s="35"/>
      <c r="DH46" s="35"/>
      <c r="DI46" s="35"/>
      <c r="DJ46" s="35"/>
      <c r="DK46" s="35"/>
      <c r="DL46" s="35"/>
      <c r="DM46" s="35"/>
      <c r="DN46" s="35"/>
      <c r="DO46" t="str">
        <f t="shared" si="4"/>
        <v/>
      </c>
    </row>
    <row r="47" spans="5:119" ht="18.95" customHeight="1" x14ac:dyDescent="0.25">
      <c r="E47" s="20"/>
      <c r="F47" s="20"/>
      <c r="G47" s="20"/>
      <c r="H47" s="20"/>
      <c r="K47" s="21"/>
      <c r="L47" t="str">
        <f t="shared" ca="1" si="8"/>
        <v/>
      </c>
      <c r="O47" s="31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35"/>
      <c r="CF47" s="35"/>
      <c r="CG47" s="35"/>
      <c r="CH47" s="35"/>
      <c r="CI47" s="35"/>
      <c r="CJ47" s="35"/>
      <c r="CK47" s="35"/>
      <c r="CL47" s="35"/>
      <c r="CM47" s="35"/>
      <c r="CN47" s="35"/>
      <c r="CO47" s="35"/>
      <c r="CP47" s="35"/>
      <c r="CQ47" s="35"/>
      <c r="CR47" s="35"/>
      <c r="CS47" s="35"/>
      <c r="CT47" s="35"/>
      <c r="CU47" s="35"/>
      <c r="CV47" s="35"/>
      <c r="CW47" s="35"/>
      <c r="CX47" s="35"/>
      <c r="CY47" s="35"/>
      <c r="CZ47" s="35"/>
      <c r="DA47" s="35"/>
      <c r="DB47" s="35"/>
      <c r="DC47" s="35"/>
      <c r="DD47" s="35"/>
      <c r="DE47" s="35"/>
      <c r="DF47" s="35"/>
      <c r="DG47" s="35"/>
      <c r="DH47" s="35"/>
      <c r="DI47" s="35"/>
      <c r="DJ47" s="35"/>
      <c r="DK47" s="35"/>
      <c r="DL47" s="35"/>
      <c r="DM47" s="35"/>
      <c r="DN47" s="35"/>
      <c r="DO47" t="str">
        <f t="shared" si="4"/>
        <v/>
      </c>
    </row>
    <row r="48" spans="5:119" ht="18.95" customHeight="1" x14ac:dyDescent="0.25">
      <c r="E48" s="20"/>
      <c r="F48" s="20"/>
      <c r="G48" s="20"/>
      <c r="H48" s="20"/>
      <c r="K48" s="21"/>
      <c r="L48" t="str">
        <f t="shared" ca="1" si="8"/>
        <v/>
      </c>
      <c r="O48" s="23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35"/>
      <c r="DN48" s="35"/>
      <c r="DO48" t="str">
        <f t="shared" si="4"/>
        <v/>
      </c>
    </row>
    <row r="49" spans="5:119" ht="18.95" customHeight="1" x14ac:dyDescent="0.25">
      <c r="E49" s="20"/>
      <c r="F49" s="20"/>
      <c r="G49" s="20"/>
      <c r="H49" s="20"/>
      <c r="K49" s="21"/>
      <c r="L49" t="str">
        <f t="shared" ca="1" si="8"/>
        <v/>
      </c>
      <c r="O49" s="31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5"/>
      <c r="BZ49" s="35"/>
      <c r="CA49" s="35"/>
      <c r="CB49" s="35"/>
      <c r="CC49" s="35"/>
      <c r="CD49" s="35"/>
      <c r="CE49" s="35"/>
      <c r="CF49" s="35"/>
      <c r="CG49" s="35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35"/>
      <c r="CT49" s="35"/>
      <c r="CU49" s="35"/>
      <c r="CV49" s="35"/>
      <c r="CW49" s="35"/>
      <c r="CX49" s="35"/>
      <c r="CY49" s="35"/>
      <c r="CZ49" s="35"/>
      <c r="DA49" s="35"/>
      <c r="DB49" s="35"/>
      <c r="DC49" s="35"/>
      <c r="DD49" s="35"/>
      <c r="DE49" s="35"/>
      <c r="DF49" s="35"/>
      <c r="DG49" s="35"/>
      <c r="DH49" s="35"/>
      <c r="DI49" s="35"/>
      <c r="DJ49" s="35"/>
      <c r="DK49" s="35"/>
      <c r="DL49" s="35"/>
      <c r="DM49" s="35"/>
      <c r="DN49" s="35"/>
      <c r="DO49" t="str">
        <f t="shared" si="4"/>
        <v/>
      </c>
    </row>
    <row r="50" spans="5:119" ht="18.95" customHeight="1" x14ac:dyDescent="0.25">
      <c r="E50" s="20"/>
      <c r="F50" s="20"/>
      <c r="G50" s="20"/>
      <c r="H50" s="20"/>
      <c r="K50" s="21"/>
      <c r="L50" t="str">
        <f t="shared" ca="1" si="8"/>
        <v/>
      </c>
      <c r="O50" s="23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35"/>
      <c r="CF50" s="35"/>
      <c r="CG50" s="35"/>
      <c r="CH50" s="35"/>
      <c r="CI50" s="35"/>
      <c r="CJ50" s="35"/>
      <c r="CK50" s="35"/>
      <c r="CL50" s="35"/>
      <c r="CM50" s="35"/>
      <c r="CN50" s="35"/>
      <c r="CO50" s="35"/>
      <c r="CP50" s="35"/>
      <c r="CQ50" s="35"/>
      <c r="CR50" s="35"/>
      <c r="CS50" s="35"/>
      <c r="CT50" s="35"/>
      <c r="CU50" s="35"/>
      <c r="CV50" s="35"/>
      <c r="CW50" s="35"/>
      <c r="CX50" s="35"/>
      <c r="CY50" s="35"/>
      <c r="CZ50" s="35"/>
      <c r="DA50" s="35"/>
      <c r="DB50" s="35"/>
      <c r="DC50" s="35"/>
      <c r="DD50" s="35"/>
      <c r="DE50" s="35"/>
      <c r="DF50" s="35"/>
      <c r="DG50" s="35"/>
      <c r="DH50" s="35"/>
      <c r="DI50" s="35"/>
      <c r="DJ50" s="35"/>
      <c r="DK50" s="35"/>
      <c r="DL50" s="35"/>
      <c r="DM50" s="35"/>
      <c r="DN50" s="35"/>
      <c r="DO50" t="str">
        <f t="shared" si="4"/>
        <v/>
      </c>
    </row>
    <row r="51" spans="5:119" ht="18.95" customHeight="1" x14ac:dyDescent="0.25">
      <c r="E51" s="20"/>
      <c r="F51" s="20"/>
      <c r="G51" s="20"/>
      <c r="H51" s="20"/>
      <c r="K51" s="21"/>
      <c r="L51" t="str">
        <f t="shared" ca="1" si="8"/>
        <v/>
      </c>
      <c r="O51" s="31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5"/>
      <c r="BM51" s="35"/>
      <c r="BN51" s="35"/>
      <c r="BO51" s="35"/>
      <c r="BP51" s="35"/>
      <c r="BQ51" s="35"/>
      <c r="BR51" s="35"/>
      <c r="BS51" s="35"/>
      <c r="BT51" s="35"/>
      <c r="BU51" s="35"/>
      <c r="BV51" s="35"/>
      <c r="BW51" s="35"/>
      <c r="BX51" s="35"/>
      <c r="BY51" s="35"/>
      <c r="BZ51" s="35"/>
      <c r="CA51" s="35"/>
      <c r="CB51" s="35"/>
      <c r="CC51" s="35"/>
      <c r="CD51" s="35"/>
      <c r="CE51" s="35"/>
      <c r="CF51" s="35"/>
      <c r="CG51" s="35"/>
      <c r="CH51" s="35"/>
      <c r="CI51" s="35"/>
      <c r="CJ51" s="35"/>
      <c r="CK51" s="35"/>
      <c r="CL51" s="35"/>
      <c r="CM51" s="35"/>
      <c r="CN51" s="35"/>
      <c r="CO51" s="35"/>
      <c r="CP51" s="35"/>
      <c r="CQ51" s="35"/>
      <c r="CR51" s="35"/>
      <c r="CS51" s="35"/>
      <c r="CT51" s="35"/>
      <c r="CU51" s="35"/>
      <c r="CV51" s="35"/>
      <c r="CW51" s="35"/>
      <c r="CX51" s="35"/>
      <c r="CY51" s="35"/>
      <c r="CZ51" s="35"/>
      <c r="DA51" s="35"/>
      <c r="DB51" s="35"/>
      <c r="DC51" s="35"/>
      <c r="DD51" s="35"/>
      <c r="DE51" s="35"/>
      <c r="DF51" s="35"/>
      <c r="DG51" s="35"/>
      <c r="DH51" s="35"/>
      <c r="DI51" s="35"/>
      <c r="DJ51" s="35"/>
      <c r="DK51" s="35"/>
      <c r="DL51" s="35"/>
      <c r="DM51" s="35"/>
      <c r="DN51" s="35"/>
      <c r="DO51" t="str">
        <f t="shared" si="4"/>
        <v/>
      </c>
    </row>
    <row r="52" spans="5:119" ht="18.95" customHeight="1" x14ac:dyDescent="0.25">
      <c r="E52" s="20"/>
      <c r="F52" s="20"/>
      <c r="G52" s="20"/>
      <c r="H52" s="20"/>
      <c r="K52" s="21"/>
      <c r="L52" t="str">
        <f t="shared" ca="1" si="8"/>
        <v/>
      </c>
      <c r="O52" s="23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35"/>
      <c r="BT52" s="35"/>
      <c r="BU52" s="35"/>
      <c r="BV52" s="35"/>
      <c r="BW52" s="35"/>
      <c r="BX52" s="35"/>
      <c r="BY52" s="35"/>
      <c r="BZ52" s="35"/>
      <c r="CA52" s="35"/>
      <c r="CB52" s="35"/>
      <c r="CC52" s="35"/>
      <c r="CD52" s="35"/>
      <c r="CE52" s="35"/>
      <c r="CF52" s="35"/>
      <c r="CG52" s="35"/>
      <c r="CH52" s="35"/>
      <c r="CI52" s="35"/>
      <c r="CJ52" s="35"/>
      <c r="CK52" s="35"/>
      <c r="CL52" s="35"/>
      <c r="CM52" s="35"/>
      <c r="CN52" s="35"/>
      <c r="CO52" s="35"/>
      <c r="CP52" s="35"/>
      <c r="CQ52" s="35"/>
      <c r="CR52" s="35"/>
      <c r="CS52" s="35"/>
      <c r="CT52" s="35"/>
      <c r="CU52" s="35"/>
      <c r="CV52" s="35"/>
      <c r="CW52" s="35"/>
      <c r="CX52" s="35"/>
      <c r="CY52" s="35"/>
      <c r="CZ52" s="35"/>
      <c r="DA52" s="35"/>
      <c r="DB52" s="35"/>
      <c r="DC52" s="35"/>
      <c r="DD52" s="35"/>
      <c r="DE52" s="35"/>
      <c r="DF52" s="35"/>
      <c r="DG52" s="35"/>
      <c r="DH52" s="35"/>
      <c r="DI52" s="35"/>
      <c r="DJ52" s="35"/>
      <c r="DK52" s="35"/>
      <c r="DL52" s="35"/>
      <c r="DM52" s="35"/>
      <c r="DN52" s="35"/>
      <c r="DO52" t="str">
        <f t="shared" si="4"/>
        <v/>
      </c>
    </row>
    <row r="53" spans="5:119" ht="18.95" customHeight="1" x14ac:dyDescent="0.25">
      <c r="E53" s="20"/>
      <c r="F53" s="20"/>
      <c r="G53" s="20"/>
      <c r="H53" s="20"/>
      <c r="K53" s="21"/>
      <c r="L53" t="str">
        <f t="shared" ca="1" si="8"/>
        <v/>
      </c>
      <c r="O53" s="31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  <c r="BV53" s="35"/>
      <c r="BW53" s="35"/>
      <c r="BX53" s="35"/>
      <c r="BY53" s="35"/>
      <c r="BZ53" s="35"/>
      <c r="CA53" s="35"/>
      <c r="CB53" s="35"/>
      <c r="CC53" s="35"/>
      <c r="CD53" s="35"/>
      <c r="CE53" s="35"/>
      <c r="CF53" s="35"/>
      <c r="CG53" s="35"/>
      <c r="CH53" s="35"/>
      <c r="CI53" s="35"/>
      <c r="CJ53" s="35"/>
      <c r="CK53" s="35"/>
      <c r="CL53" s="35"/>
      <c r="CM53" s="35"/>
      <c r="CN53" s="35"/>
      <c r="CO53" s="35"/>
      <c r="CP53" s="35"/>
      <c r="CQ53" s="35"/>
      <c r="CR53" s="35"/>
      <c r="CS53" s="35"/>
      <c r="CT53" s="35"/>
      <c r="CU53" s="35"/>
      <c r="CV53" s="35"/>
      <c r="CW53" s="35"/>
      <c r="CX53" s="35"/>
      <c r="CY53" s="35"/>
      <c r="CZ53" s="35"/>
      <c r="DA53" s="35"/>
      <c r="DB53" s="35"/>
      <c r="DC53" s="35"/>
      <c r="DD53" s="35"/>
      <c r="DE53" s="35"/>
      <c r="DF53" s="35"/>
      <c r="DG53" s="35"/>
      <c r="DH53" s="35"/>
      <c r="DI53" s="35"/>
      <c r="DJ53" s="35"/>
      <c r="DK53" s="35"/>
      <c r="DL53" s="35"/>
      <c r="DM53" s="35"/>
      <c r="DN53" s="35"/>
      <c r="DO53" t="str">
        <f t="shared" si="4"/>
        <v/>
      </c>
    </row>
    <row r="54" spans="5:119" ht="18.95" customHeight="1" x14ac:dyDescent="0.25">
      <c r="E54" s="20"/>
      <c r="F54" s="20"/>
      <c r="G54" s="20"/>
      <c r="H54" s="20"/>
      <c r="K54" s="21"/>
      <c r="L54" t="str">
        <f t="shared" ca="1" si="8"/>
        <v/>
      </c>
      <c r="O54" s="23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  <c r="BV54" s="35"/>
      <c r="BW54" s="35"/>
      <c r="BX54" s="35"/>
      <c r="BY54" s="35"/>
      <c r="BZ54" s="35"/>
      <c r="CA54" s="35"/>
      <c r="CB54" s="35"/>
      <c r="CC54" s="35"/>
      <c r="CD54" s="35"/>
      <c r="CE54" s="35"/>
      <c r="CF54" s="35"/>
      <c r="CG54" s="35"/>
      <c r="CH54" s="35"/>
      <c r="CI54" s="35"/>
      <c r="CJ54" s="35"/>
      <c r="CK54" s="35"/>
      <c r="CL54" s="35"/>
      <c r="CM54" s="35"/>
      <c r="CN54" s="35"/>
      <c r="CO54" s="35"/>
      <c r="CP54" s="35"/>
      <c r="CQ54" s="35"/>
      <c r="CR54" s="35"/>
      <c r="CS54" s="35"/>
      <c r="CT54" s="35"/>
      <c r="CU54" s="35"/>
      <c r="CV54" s="35"/>
      <c r="CW54" s="35"/>
      <c r="CX54" s="35"/>
      <c r="CY54" s="35"/>
      <c r="CZ54" s="35"/>
      <c r="DA54" s="35"/>
      <c r="DB54" s="35"/>
      <c r="DC54" s="35"/>
      <c r="DD54" s="35"/>
      <c r="DE54" s="35"/>
      <c r="DF54" s="35"/>
      <c r="DG54" s="35"/>
      <c r="DH54" s="35"/>
      <c r="DI54" s="35"/>
      <c r="DJ54" s="35"/>
      <c r="DK54" s="35"/>
      <c r="DL54" s="35"/>
      <c r="DM54" s="35"/>
      <c r="DN54" s="35"/>
      <c r="DO54" t="str">
        <f t="shared" si="4"/>
        <v/>
      </c>
    </row>
    <row r="55" spans="5:119" ht="18.95" customHeight="1" x14ac:dyDescent="0.25">
      <c r="E55" s="20"/>
      <c r="F55" s="20"/>
      <c r="G55" s="20"/>
      <c r="H55" s="20"/>
      <c r="K55" s="21"/>
      <c r="L55" t="str">
        <f t="shared" ca="1" si="8"/>
        <v/>
      </c>
      <c r="O55" s="31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5"/>
      <c r="BM55" s="35"/>
      <c r="BN55" s="35"/>
      <c r="BO55" s="35"/>
      <c r="BP55" s="35"/>
      <c r="BQ55" s="35"/>
      <c r="BR55" s="35"/>
      <c r="BS55" s="35"/>
      <c r="BT55" s="35"/>
      <c r="BU55" s="35"/>
      <c r="BV55" s="35"/>
      <c r="BW55" s="35"/>
      <c r="BX55" s="35"/>
      <c r="BY55" s="35"/>
      <c r="BZ55" s="35"/>
      <c r="CA55" s="35"/>
      <c r="CB55" s="35"/>
      <c r="CC55" s="35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5"/>
      <c r="CX55" s="35"/>
      <c r="CY55" s="35"/>
      <c r="CZ55" s="35"/>
      <c r="DA55" s="35"/>
      <c r="DB55" s="35"/>
      <c r="DC55" s="35"/>
      <c r="DD55" s="35"/>
      <c r="DE55" s="35"/>
      <c r="DF55" s="35"/>
      <c r="DG55" s="35"/>
      <c r="DH55" s="35"/>
      <c r="DI55" s="35"/>
      <c r="DJ55" s="35"/>
      <c r="DK55" s="35"/>
      <c r="DL55" s="35"/>
      <c r="DM55" s="35"/>
      <c r="DN55" s="35"/>
      <c r="DO55" t="str">
        <f t="shared" si="4"/>
        <v/>
      </c>
    </row>
    <row r="56" spans="5:119" ht="18.95" customHeight="1" x14ac:dyDescent="0.25">
      <c r="E56" s="20"/>
      <c r="F56" s="20"/>
      <c r="G56" s="20"/>
      <c r="H56" s="20"/>
      <c r="K56" s="21"/>
      <c r="L56" t="str">
        <f t="shared" ca="1" si="8"/>
        <v/>
      </c>
      <c r="O56" s="23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5"/>
      <c r="BM56" s="35"/>
      <c r="BN56" s="35"/>
      <c r="BO56" s="35"/>
      <c r="BP56" s="35"/>
      <c r="BQ56" s="35"/>
      <c r="BR56" s="35"/>
      <c r="BS56" s="35"/>
      <c r="BT56" s="35"/>
      <c r="BU56" s="35"/>
      <c r="BV56" s="35"/>
      <c r="BW56" s="35"/>
      <c r="BX56" s="35"/>
      <c r="BY56" s="35"/>
      <c r="BZ56" s="35"/>
      <c r="CA56" s="35"/>
      <c r="CB56" s="35"/>
      <c r="CC56" s="35"/>
      <c r="CD56" s="35"/>
      <c r="CE56" s="35"/>
      <c r="CF56" s="35"/>
      <c r="CG56" s="35"/>
      <c r="CH56" s="35"/>
      <c r="CI56" s="35"/>
      <c r="CJ56" s="35"/>
      <c r="CK56" s="35"/>
      <c r="CL56" s="35"/>
      <c r="CM56" s="35"/>
      <c r="CN56" s="35"/>
      <c r="CO56" s="35"/>
      <c r="CP56" s="35"/>
      <c r="CQ56" s="35"/>
      <c r="CR56" s="35"/>
      <c r="CS56" s="35"/>
      <c r="CT56" s="35"/>
      <c r="CU56" s="35"/>
      <c r="CV56" s="35"/>
      <c r="CW56" s="35"/>
      <c r="CX56" s="35"/>
      <c r="CY56" s="35"/>
      <c r="CZ56" s="35"/>
      <c r="DA56" s="35"/>
      <c r="DB56" s="35"/>
      <c r="DC56" s="35"/>
      <c r="DD56" s="35"/>
      <c r="DE56" s="35"/>
      <c r="DF56" s="35"/>
      <c r="DG56" s="35"/>
      <c r="DH56" s="35"/>
      <c r="DI56" s="35"/>
      <c r="DJ56" s="35"/>
      <c r="DK56" s="35"/>
      <c r="DL56" s="35"/>
      <c r="DM56" s="35"/>
      <c r="DN56" s="35"/>
      <c r="DO56" t="str">
        <f t="shared" si="4"/>
        <v/>
      </c>
    </row>
    <row r="57" spans="5:119" ht="18.95" customHeight="1" x14ac:dyDescent="0.25">
      <c r="E57" s="20"/>
      <c r="F57" s="20"/>
      <c r="G57" s="20"/>
      <c r="H57" s="20"/>
      <c r="K57" s="21"/>
      <c r="L57" t="str">
        <f t="shared" ca="1" si="8"/>
        <v/>
      </c>
      <c r="O57" s="31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5"/>
      <c r="BM57" s="35"/>
      <c r="BN57" s="35"/>
      <c r="BO57" s="35"/>
      <c r="BP57" s="35"/>
      <c r="BQ57" s="35"/>
      <c r="BR57" s="35"/>
      <c r="BS57" s="35"/>
      <c r="BT57" s="35"/>
      <c r="BU57" s="35"/>
      <c r="BV57" s="35"/>
      <c r="BW57" s="35"/>
      <c r="BX57" s="35"/>
      <c r="BY57" s="35"/>
      <c r="BZ57" s="35"/>
      <c r="CA57" s="35"/>
      <c r="CB57" s="35"/>
      <c r="CC57" s="35"/>
      <c r="CD57" s="35"/>
      <c r="CE57" s="35"/>
      <c r="CF57" s="35"/>
      <c r="CG57" s="35"/>
      <c r="CH57" s="35"/>
      <c r="CI57" s="35"/>
      <c r="CJ57" s="35"/>
      <c r="CK57" s="35"/>
      <c r="CL57" s="35"/>
      <c r="CM57" s="35"/>
      <c r="CN57" s="35"/>
      <c r="CO57" s="35"/>
      <c r="CP57" s="35"/>
      <c r="CQ57" s="35"/>
      <c r="CR57" s="35"/>
      <c r="CS57" s="35"/>
      <c r="CT57" s="35"/>
      <c r="CU57" s="35"/>
      <c r="CV57" s="35"/>
      <c r="CW57" s="35"/>
      <c r="CX57" s="35"/>
      <c r="CY57" s="35"/>
      <c r="CZ57" s="35"/>
      <c r="DA57" s="35"/>
      <c r="DB57" s="35"/>
      <c r="DC57" s="35"/>
      <c r="DD57" s="35"/>
      <c r="DE57" s="35"/>
      <c r="DF57" s="35"/>
      <c r="DG57" s="35"/>
      <c r="DH57" s="35"/>
      <c r="DI57" s="35"/>
      <c r="DJ57" s="35"/>
      <c r="DK57" s="35"/>
      <c r="DL57" s="35"/>
      <c r="DM57" s="35"/>
      <c r="DN57" s="35"/>
      <c r="DO57" t="str">
        <f t="shared" si="4"/>
        <v/>
      </c>
    </row>
    <row r="58" spans="5:119" ht="18.95" customHeight="1" x14ac:dyDescent="0.25">
      <c r="E58" s="20"/>
      <c r="F58" s="20"/>
      <c r="G58" s="20"/>
      <c r="H58" s="20"/>
      <c r="K58" s="21"/>
      <c r="L58" t="str">
        <f t="shared" ca="1" si="8"/>
        <v/>
      </c>
      <c r="O58" s="23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5"/>
      <c r="BM58" s="35"/>
      <c r="BN58" s="35"/>
      <c r="BO58" s="35"/>
      <c r="BP58" s="35"/>
      <c r="BQ58" s="35"/>
      <c r="BR58" s="35"/>
      <c r="BS58" s="35"/>
      <c r="BT58" s="35"/>
      <c r="BU58" s="35"/>
      <c r="BV58" s="35"/>
      <c r="BW58" s="35"/>
      <c r="BX58" s="35"/>
      <c r="BY58" s="35"/>
      <c r="BZ58" s="35"/>
      <c r="CA58" s="35"/>
      <c r="CB58" s="35"/>
      <c r="CC58" s="35"/>
      <c r="CD58" s="35"/>
      <c r="CE58" s="35"/>
      <c r="CF58" s="35"/>
      <c r="CG58" s="35"/>
      <c r="CH58" s="35"/>
      <c r="CI58" s="35"/>
      <c r="CJ58" s="35"/>
      <c r="CK58" s="35"/>
      <c r="CL58" s="35"/>
      <c r="CM58" s="35"/>
      <c r="CN58" s="35"/>
      <c r="CO58" s="35"/>
      <c r="CP58" s="35"/>
      <c r="CQ58" s="35"/>
      <c r="CR58" s="35"/>
      <c r="CS58" s="35"/>
      <c r="CT58" s="35"/>
      <c r="CU58" s="35"/>
      <c r="CV58" s="35"/>
      <c r="CW58" s="35"/>
      <c r="CX58" s="35"/>
      <c r="CY58" s="35"/>
      <c r="CZ58" s="35"/>
      <c r="DA58" s="35"/>
      <c r="DB58" s="35"/>
      <c r="DC58" s="35"/>
      <c r="DD58" s="35"/>
      <c r="DE58" s="35"/>
      <c r="DF58" s="35"/>
      <c r="DG58" s="35"/>
      <c r="DH58" s="35"/>
      <c r="DI58" s="35"/>
      <c r="DJ58" s="35"/>
      <c r="DK58" s="35"/>
      <c r="DL58" s="35"/>
      <c r="DM58" s="35"/>
      <c r="DN58" s="35"/>
      <c r="DO58" t="str">
        <f t="shared" si="4"/>
        <v/>
      </c>
    </row>
    <row r="59" spans="5:119" ht="18.95" customHeight="1" x14ac:dyDescent="0.25">
      <c r="E59" s="20"/>
      <c r="F59" s="20"/>
      <c r="G59" s="20"/>
      <c r="H59" s="20"/>
      <c r="K59" s="21"/>
      <c r="L59" t="str">
        <f t="shared" ca="1" si="8"/>
        <v/>
      </c>
      <c r="O59" s="31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5"/>
      <c r="BM59" s="35"/>
      <c r="BN59" s="35"/>
      <c r="BO59" s="35"/>
      <c r="BP59" s="35"/>
      <c r="BQ59" s="35"/>
      <c r="BR59" s="35"/>
      <c r="BS59" s="35"/>
      <c r="BT59" s="35"/>
      <c r="BU59" s="35"/>
      <c r="BV59" s="35"/>
      <c r="BW59" s="35"/>
      <c r="BX59" s="35"/>
      <c r="BY59" s="35"/>
      <c r="BZ59" s="35"/>
      <c r="CA59" s="35"/>
      <c r="CB59" s="35"/>
      <c r="CC59" s="35"/>
      <c r="CD59" s="35"/>
      <c r="CE59" s="35"/>
      <c r="CF59" s="35"/>
      <c r="CG59" s="35"/>
      <c r="CH59" s="35"/>
      <c r="CI59" s="35"/>
      <c r="CJ59" s="35"/>
      <c r="CK59" s="35"/>
      <c r="CL59" s="35"/>
      <c r="CM59" s="35"/>
      <c r="CN59" s="35"/>
      <c r="CO59" s="35"/>
      <c r="CP59" s="35"/>
      <c r="CQ59" s="35"/>
      <c r="CR59" s="35"/>
      <c r="CS59" s="35"/>
      <c r="CT59" s="35"/>
      <c r="CU59" s="35"/>
      <c r="CV59" s="35"/>
      <c r="CW59" s="35"/>
      <c r="CX59" s="35"/>
      <c r="CY59" s="35"/>
      <c r="CZ59" s="35"/>
      <c r="DA59" s="35"/>
      <c r="DB59" s="35"/>
      <c r="DC59" s="35"/>
      <c r="DD59" s="35"/>
      <c r="DE59" s="35"/>
      <c r="DF59" s="35"/>
      <c r="DG59" s="35"/>
      <c r="DH59" s="35"/>
      <c r="DI59" s="35"/>
      <c r="DJ59" s="35"/>
      <c r="DK59" s="35"/>
      <c r="DL59" s="35"/>
      <c r="DM59" s="35"/>
      <c r="DN59" s="35"/>
      <c r="DO59" t="str">
        <f t="shared" si="4"/>
        <v/>
      </c>
    </row>
    <row r="60" spans="5:119" ht="18.95" customHeight="1" x14ac:dyDescent="0.25">
      <c r="E60" s="20"/>
      <c r="F60" s="20"/>
      <c r="G60" s="20"/>
      <c r="H60" s="20"/>
      <c r="K60" s="21"/>
      <c r="L60" t="str">
        <f t="shared" ca="1" si="8"/>
        <v/>
      </c>
      <c r="O60" s="23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5"/>
      <c r="BM60" s="35"/>
      <c r="BN60" s="35"/>
      <c r="BO60" s="35"/>
      <c r="BP60" s="35"/>
      <c r="BQ60" s="35"/>
      <c r="BR60" s="35"/>
      <c r="BS60" s="35"/>
      <c r="BT60" s="35"/>
      <c r="BU60" s="35"/>
      <c r="BV60" s="35"/>
      <c r="BW60" s="35"/>
      <c r="BX60" s="35"/>
      <c r="BY60" s="35"/>
      <c r="BZ60" s="35"/>
      <c r="CA60" s="35"/>
      <c r="CB60" s="35"/>
      <c r="CC60" s="35"/>
      <c r="CD60" s="35"/>
      <c r="CE60" s="35"/>
      <c r="CF60" s="35"/>
      <c r="CG60" s="35"/>
      <c r="CH60" s="35"/>
      <c r="CI60" s="35"/>
      <c r="CJ60" s="35"/>
      <c r="CK60" s="35"/>
      <c r="CL60" s="35"/>
      <c r="CM60" s="35"/>
      <c r="CN60" s="35"/>
      <c r="CO60" s="35"/>
      <c r="CP60" s="35"/>
      <c r="CQ60" s="35"/>
      <c r="CR60" s="35"/>
      <c r="CS60" s="35"/>
      <c r="CT60" s="35"/>
      <c r="CU60" s="35"/>
      <c r="CV60" s="35"/>
      <c r="CW60" s="35"/>
      <c r="CX60" s="35"/>
      <c r="CY60" s="35"/>
      <c r="CZ60" s="35"/>
      <c r="DA60" s="35"/>
      <c r="DB60" s="35"/>
      <c r="DC60" s="35"/>
      <c r="DD60" s="35"/>
      <c r="DE60" s="35"/>
      <c r="DF60" s="35"/>
      <c r="DG60" s="35"/>
      <c r="DH60" s="35"/>
      <c r="DI60" s="35"/>
      <c r="DJ60" s="35"/>
      <c r="DK60" s="35"/>
      <c r="DL60" s="35"/>
      <c r="DM60" s="35"/>
      <c r="DN60" s="35"/>
      <c r="DO60" t="str">
        <f t="shared" si="4"/>
        <v/>
      </c>
    </row>
    <row r="61" spans="5:119" ht="18.95" customHeight="1" x14ac:dyDescent="0.25">
      <c r="E61" s="20"/>
      <c r="F61" s="20"/>
      <c r="G61" s="20"/>
      <c r="H61" s="20"/>
      <c r="K61" s="21"/>
      <c r="L61" t="str">
        <f t="shared" ca="1" si="8"/>
        <v/>
      </c>
      <c r="O61" s="31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5"/>
      <c r="BM61" s="35"/>
      <c r="BN61" s="35"/>
      <c r="BO61" s="35"/>
      <c r="BP61" s="35"/>
      <c r="BQ61" s="35"/>
      <c r="BR61" s="35"/>
      <c r="BS61" s="35"/>
      <c r="BT61" s="35"/>
      <c r="BU61" s="35"/>
      <c r="BV61" s="35"/>
      <c r="BW61" s="35"/>
      <c r="BX61" s="35"/>
      <c r="BY61" s="35"/>
      <c r="BZ61" s="35"/>
      <c r="CA61" s="35"/>
      <c r="CB61" s="35"/>
      <c r="CC61" s="35"/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5"/>
      <c r="CX61" s="35"/>
      <c r="CY61" s="35"/>
      <c r="CZ61" s="35"/>
      <c r="DA61" s="35"/>
      <c r="DB61" s="35"/>
      <c r="DC61" s="35"/>
      <c r="DD61" s="35"/>
      <c r="DE61" s="35"/>
      <c r="DF61" s="35"/>
      <c r="DG61" s="35"/>
      <c r="DH61" s="35"/>
      <c r="DI61" s="35"/>
      <c r="DJ61" s="35"/>
      <c r="DK61" s="35"/>
      <c r="DL61" s="35"/>
      <c r="DM61" s="35"/>
      <c r="DN61" s="35"/>
      <c r="DO61" t="str">
        <f t="shared" si="4"/>
        <v/>
      </c>
    </row>
    <row r="62" spans="5:119" ht="18.95" customHeight="1" x14ac:dyDescent="0.25">
      <c r="E62" s="20"/>
      <c r="F62" s="20"/>
      <c r="G62" s="20"/>
      <c r="H62" s="20"/>
      <c r="K62" s="21"/>
      <c r="L62" t="str">
        <f t="shared" ca="1" si="8"/>
        <v/>
      </c>
      <c r="O62" s="23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35"/>
      <c r="BU62" s="35"/>
      <c r="BV62" s="35"/>
      <c r="BW62" s="35"/>
      <c r="BX62" s="35"/>
      <c r="BY62" s="35"/>
      <c r="BZ62" s="35"/>
      <c r="CA62" s="35"/>
      <c r="CB62" s="35"/>
      <c r="CC62" s="35"/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5"/>
      <c r="CX62" s="35"/>
      <c r="CY62" s="35"/>
      <c r="CZ62" s="35"/>
      <c r="DA62" s="35"/>
      <c r="DB62" s="35"/>
      <c r="DC62" s="35"/>
      <c r="DD62" s="35"/>
      <c r="DE62" s="35"/>
      <c r="DF62" s="35"/>
      <c r="DG62" s="35"/>
      <c r="DH62" s="35"/>
      <c r="DI62" s="35"/>
      <c r="DJ62" s="35"/>
      <c r="DK62" s="35"/>
      <c r="DL62" s="35"/>
      <c r="DM62" s="35"/>
      <c r="DN62" s="35"/>
      <c r="DO62" t="str">
        <f t="shared" si="4"/>
        <v/>
      </c>
    </row>
    <row r="63" spans="5:119" ht="18.95" customHeight="1" x14ac:dyDescent="0.25">
      <c r="E63" s="20"/>
      <c r="F63" s="20"/>
      <c r="G63" s="20"/>
      <c r="H63" s="20"/>
      <c r="K63" s="21"/>
      <c r="L63" t="str">
        <f t="shared" ca="1" si="8"/>
        <v/>
      </c>
      <c r="O63" s="31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  <c r="DA63" s="35"/>
      <c r="DB63" s="35"/>
      <c r="DC63" s="35"/>
      <c r="DD63" s="35"/>
      <c r="DE63" s="35"/>
      <c r="DF63" s="35"/>
      <c r="DG63" s="35"/>
      <c r="DH63" s="35"/>
      <c r="DI63" s="35"/>
      <c r="DJ63" s="35"/>
      <c r="DK63" s="35"/>
      <c r="DL63" s="35"/>
      <c r="DM63" s="35"/>
      <c r="DN63" s="35"/>
      <c r="DO63" t="str">
        <f t="shared" si="4"/>
        <v/>
      </c>
    </row>
    <row r="64" spans="5:119" ht="18.95" customHeight="1" x14ac:dyDescent="0.25">
      <c r="E64" s="20"/>
      <c r="F64" s="20"/>
      <c r="G64" s="20"/>
      <c r="H64" s="20"/>
      <c r="K64" s="21"/>
      <c r="L64" t="str">
        <f t="shared" ca="1" si="8"/>
        <v/>
      </c>
      <c r="O64" s="23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5"/>
      <c r="BM64" s="35"/>
      <c r="BN64" s="35"/>
      <c r="BO64" s="35"/>
      <c r="BP64" s="35"/>
      <c r="BQ64" s="35"/>
      <c r="BR64" s="35"/>
      <c r="BS64" s="35"/>
      <c r="BT64" s="35"/>
      <c r="BU64" s="35"/>
      <c r="BV64" s="35"/>
      <c r="BW64" s="35"/>
      <c r="BX64" s="35"/>
      <c r="BY64" s="35"/>
      <c r="BZ64" s="35"/>
      <c r="CA64" s="35"/>
      <c r="CB64" s="35"/>
      <c r="CC64" s="35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5"/>
      <c r="CX64" s="35"/>
      <c r="CY64" s="35"/>
      <c r="CZ64" s="35"/>
      <c r="DA64" s="35"/>
      <c r="DB64" s="35"/>
      <c r="DC64" s="35"/>
      <c r="DD64" s="35"/>
      <c r="DE64" s="35"/>
      <c r="DF64" s="35"/>
      <c r="DG64" s="35"/>
      <c r="DH64" s="35"/>
      <c r="DI64" s="35"/>
      <c r="DJ64" s="35"/>
      <c r="DK64" s="35"/>
      <c r="DL64" s="35"/>
      <c r="DM64" s="35"/>
      <c r="DN64" s="35"/>
      <c r="DO64" t="str">
        <f t="shared" si="4"/>
        <v/>
      </c>
    </row>
    <row r="65" spans="5:119" ht="18.95" customHeight="1" x14ac:dyDescent="0.25">
      <c r="E65" s="20"/>
      <c r="F65" s="20"/>
      <c r="G65" s="20"/>
      <c r="H65" s="20"/>
      <c r="K65" s="21"/>
      <c r="L65" t="str">
        <f t="shared" ca="1" si="8"/>
        <v/>
      </c>
      <c r="O65" s="31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5"/>
      <c r="BM65" s="35"/>
      <c r="BN65" s="35"/>
      <c r="BO65" s="35"/>
      <c r="BP65" s="35"/>
      <c r="BQ65" s="35"/>
      <c r="BR65" s="35"/>
      <c r="BS65" s="35"/>
      <c r="BT65" s="35"/>
      <c r="BU65" s="35"/>
      <c r="BV65" s="35"/>
      <c r="BW65" s="35"/>
      <c r="BX65" s="35"/>
      <c r="BY65" s="35"/>
      <c r="BZ65" s="35"/>
      <c r="CA65" s="35"/>
      <c r="CB65" s="35"/>
      <c r="CC65" s="35"/>
      <c r="CD65" s="35"/>
      <c r="CE65" s="35"/>
      <c r="CF65" s="35"/>
      <c r="CG65" s="35"/>
      <c r="CH65" s="35"/>
      <c r="CI65" s="35"/>
      <c r="CJ65" s="35"/>
      <c r="CK65" s="35"/>
      <c r="CL65" s="35"/>
      <c r="CM65" s="35"/>
      <c r="CN65" s="35"/>
      <c r="CO65" s="35"/>
      <c r="CP65" s="35"/>
      <c r="CQ65" s="35"/>
      <c r="CR65" s="35"/>
      <c r="CS65" s="35"/>
      <c r="CT65" s="35"/>
      <c r="CU65" s="35"/>
      <c r="CV65" s="35"/>
      <c r="CW65" s="35"/>
      <c r="CX65" s="35"/>
      <c r="CY65" s="35"/>
      <c r="CZ65" s="35"/>
      <c r="DA65" s="35"/>
      <c r="DB65" s="35"/>
      <c r="DC65" s="35"/>
      <c r="DD65" s="35"/>
      <c r="DE65" s="35"/>
      <c r="DF65" s="35"/>
      <c r="DG65" s="35"/>
      <c r="DH65" s="35"/>
      <c r="DI65" s="35"/>
      <c r="DJ65" s="35"/>
      <c r="DK65" s="35"/>
      <c r="DL65" s="35"/>
      <c r="DM65" s="35"/>
      <c r="DN65" s="35"/>
      <c r="DO65" t="str">
        <f t="shared" si="4"/>
        <v/>
      </c>
    </row>
    <row r="66" spans="5:119" ht="18.95" customHeight="1" x14ac:dyDescent="0.25">
      <c r="E66" s="20"/>
      <c r="F66" s="20"/>
      <c r="G66" s="20"/>
      <c r="H66" s="20"/>
      <c r="K66" s="21"/>
      <c r="L66" t="str">
        <f t="shared" ca="1" si="8"/>
        <v/>
      </c>
      <c r="O66" s="23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35"/>
      <c r="BT66" s="35"/>
      <c r="BU66" s="35"/>
      <c r="BV66" s="35"/>
      <c r="BW66" s="35"/>
      <c r="BX66" s="35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5"/>
      <c r="CS66" s="35"/>
      <c r="CT66" s="35"/>
      <c r="CU66" s="35"/>
      <c r="CV66" s="35"/>
      <c r="CW66" s="35"/>
      <c r="CX66" s="35"/>
      <c r="CY66" s="35"/>
      <c r="CZ66" s="35"/>
      <c r="DA66" s="35"/>
      <c r="DB66" s="35"/>
      <c r="DC66" s="35"/>
      <c r="DD66" s="35"/>
      <c r="DE66" s="35"/>
      <c r="DF66" s="35"/>
      <c r="DG66" s="35"/>
      <c r="DH66" s="35"/>
      <c r="DI66" s="35"/>
      <c r="DJ66" s="35"/>
      <c r="DK66" s="35"/>
      <c r="DL66" s="35"/>
      <c r="DM66" s="35"/>
      <c r="DN66" s="35"/>
      <c r="DO66" t="str">
        <f t="shared" si="4"/>
        <v/>
      </c>
    </row>
    <row r="67" spans="5:119" ht="18.95" customHeight="1" x14ac:dyDescent="0.25">
      <c r="E67" s="20"/>
      <c r="F67" s="20"/>
      <c r="G67" s="20"/>
      <c r="H67" s="20"/>
      <c r="K67" s="21"/>
      <c r="L67" t="str">
        <f t="shared" ca="1" si="8"/>
        <v/>
      </c>
      <c r="O67" s="31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5"/>
      <c r="BM67" s="35"/>
      <c r="BN67" s="35"/>
      <c r="BO67" s="35"/>
      <c r="BP67" s="35"/>
      <c r="BQ67" s="35"/>
      <c r="BR67" s="35"/>
      <c r="BS67" s="35"/>
      <c r="BT67" s="35"/>
      <c r="BU67" s="35"/>
      <c r="BV67" s="35"/>
      <c r="BW67" s="35"/>
      <c r="BX67" s="35"/>
      <c r="BY67" s="35"/>
      <c r="BZ67" s="35"/>
      <c r="CA67" s="35"/>
      <c r="CB67" s="35"/>
      <c r="CC67" s="35"/>
      <c r="CD67" s="35"/>
      <c r="CE67" s="35"/>
      <c r="CF67" s="35"/>
      <c r="CG67" s="35"/>
      <c r="CH67" s="35"/>
      <c r="CI67" s="35"/>
      <c r="CJ67" s="35"/>
      <c r="CK67" s="35"/>
      <c r="CL67" s="35"/>
      <c r="CM67" s="35"/>
      <c r="CN67" s="35"/>
      <c r="CO67" s="35"/>
      <c r="CP67" s="35"/>
      <c r="CQ67" s="35"/>
      <c r="CR67" s="35"/>
      <c r="CS67" s="35"/>
      <c r="CT67" s="35"/>
      <c r="CU67" s="35"/>
      <c r="CV67" s="35"/>
      <c r="CW67" s="35"/>
      <c r="CX67" s="35"/>
      <c r="CY67" s="35"/>
      <c r="CZ67" s="35"/>
      <c r="DA67" s="35"/>
      <c r="DB67" s="35"/>
      <c r="DC67" s="35"/>
      <c r="DD67" s="35"/>
      <c r="DE67" s="35"/>
      <c r="DF67" s="35"/>
      <c r="DG67" s="35"/>
      <c r="DH67" s="35"/>
      <c r="DI67" s="35"/>
      <c r="DJ67" s="35"/>
      <c r="DK67" s="35"/>
      <c r="DL67" s="35"/>
      <c r="DM67" s="35"/>
      <c r="DN67" s="35"/>
      <c r="DO67" t="str">
        <f t="shared" si="4"/>
        <v/>
      </c>
    </row>
    <row r="68" spans="5:119" ht="18.95" customHeight="1" x14ac:dyDescent="0.25">
      <c r="E68" s="20"/>
      <c r="F68" s="20"/>
      <c r="G68" s="20"/>
      <c r="H68" s="20"/>
      <c r="K68" s="21"/>
      <c r="L68" t="str">
        <f t="shared" ca="1" si="8"/>
        <v/>
      </c>
      <c r="O68" s="23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5"/>
      <c r="BM68" s="35"/>
      <c r="BN68" s="35"/>
      <c r="BO68" s="35"/>
      <c r="BP68" s="35"/>
      <c r="BQ68" s="35"/>
      <c r="BR68" s="35"/>
      <c r="BS68" s="35"/>
      <c r="BT68" s="35"/>
      <c r="BU68" s="35"/>
      <c r="BV68" s="35"/>
      <c r="BW68" s="35"/>
      <c r="BX68" s="35"/>
      <c r="BY68" s="35"/>
      <c r="BZ68" s="35"/>
      <c r="CA68" s="35"/>
      <c r="CB68" s="35"/>
      <c r="CC68" s="35"/>
      <c r="CD68" s="35"/>
      <c r="CE68" s="35"/>
      <c r="CF68" s="35"/>
      <c r="CG68" s="35"/>
      <c r="CH68" s="35"/>
      <c r="CI68" s="35"/>
      <c r="CJ68" s="35"/>
      <c r="CK68" s="35"/>
      <c r="CL68" s="35"/>
      <c r="CM68" s="35"/>
      <c r="CN68" s="35"/>
      <c r="CO68" s="35"/>
      <c r="CP68" s="35"/>
      <c r="CQ68" s="35"/>
      <c r="CR68" s="35"/>
      <c r="CS68" s="35"/>
      <c r="CT68" s="35"/>
      <c r="CU68" s="35"/>
      <c r="CV68" s="35"/>
      <c r="CW68" s="35"/>
      <c r="CX68" s="35"/>
      <c r="CY68" s="35"/>
      <c r="CZ68" s="35"/>
      <c r="DA68" s="35"/>
      <c r="DB68" s="35"/>
      <c r="DC68" s="35"/>
      <c r="DD68" s="35"/>
      <c r="DE68" s="35"/>
      <c r="DF68" s="35"/>
      <c r="DG68" s="35"/>
      <c r="DH68" s="35"/>
      <c r="DI68" s="35"/>
      <c r="DJ68" s="35"/>
      <c r="DK68" s="35"/>
      <c r="DL68" s="35"/>
      <c r="DM68" s="35"/>
      <c r="DN68" s="35"/>
      <c r="DO68" t="str">
        <f t="shared" si="4"/>
        <v/>
      </c>
    </row>
    <row r="69" spans="5:119" ht="18.95" customHeight="1" x14ac:dyDescent="0.25">
      <c r="E69" s="20"/>
      <c r="F69" s="20"/>
      <c r="G69" s="20"/>
      <c r="H69" s="20"/>
      <c r="K69" s="21"/>
      <c r="L69" t="str">
        <f t="shared" ca="1" si="8"/>
        <v/>
      </c>
      <c r="O69" s="31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5"/>
      <c r="BM69" s="35"/>
      <c r="BN69" s="35"/>
      <c r="BO69" s="35"/>
      <c r="BP69" s="35"/>
      <c r="BQ69" s="35"/>
      <c r="BR69" s="35"/>
      <c r="BS69" s="35"/>
      <c r="BT69" s="35"/>
      <c r="BU69" s="35"/>
      <c r="BV69" s="35"/>
      <c r="BW69" s="35"/>
      <c r="BX69" s="35"/>
      <c r="BY69" s="35"/>
      <c r="BZ69" s="35"/>
      <c r="CA69" s="35"/>
      <c r="CB69" s="35"/>
      <c r="CC69" s="35"/>
      <c r="CD69" s="35"/>
      <c r="CE69" s="35"/>
      <c r="CF69" s="35"/>
      <c r="CG69" s="35"/>
      <c r="CH69" s="35"/>
      <c r="CI69" s="35"/>
      <c r="CJ69" s="35"/>
      <c r="CK69" s="35"/>
      <c r="CL69" s="35"/>
      <c r="CM69" s="35"/>
      <c r="CN69" s="35"/>
      <c r="CO69" s="35"/>
      <c r="CP69" s="35"/>
      <c r="CQ69" s="35"/>
      <c r="CR69" s="35"/>
      <c r="CS69" s="35"/>
      <c r="CT69" s="35"/>
      <c r="CU69" s="35"/>
      <c r="CV69" s="35"/>
      <c r="CW69" s="35"/>
      <c r="CX69" s="35"/>
      <c r="CY69" s="35"/>
      <c r="CZ69" s="35"/>
      <c r="DA69" s="35"/>
      <c r="DB69" s="35"/>
      <c r="DC69" s="35"/>
      <c r="DD69" s="35"/>
      <c r="DE69" s="35"/>
      <c r="DF69" s="35"/>
      <c r="DG69" s="35"/>
      <c r="DH69" s="35"/>
      <c r="DI69" s="35"/>
      <c r="DJ69" s="35"/>
      <c r="DK69" s="35"/>
      <c r="DL69" s="35"/>
      <c r="DM69" s="35"/>
      <c r="DN69" s="35"/>
      <c r="DO69" t="str">
        <f t="shared" si="4"/>
        <v/>
      </c>
    </row>
    <row r="70" spans="5:119" ht="18.95" customHeight="1" x14ac:dyDescent="0.25">
      <c r="E70" s="20"/>
      <c r="F70" s="20"/>
      <c r="G70" s="20"/>
      <c r="H70" s="20"/>
      <c r="K70" s="21"/>
      <c r="L70" t="str">
        <f t="shared" ca="1" si="8"/>
        <v/>
      </c>
      <c r="O70" s="23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  <c r="DA70" s="35"/>
      <c r="DB70" s="35"/>
      <c r="DC70" s="35"/>
      <c r="DD70" s="35"/>
      <c r="DE70" s="35"/>
      <c r="DF70" s="35"/>
      <c r="DG70" s="35"/>
      <c r="DH70" s="35"/>
      <c r="DI70" s="35"/>
      <c r="DJ70" s="35"/>
      <c r="DK70" s="35"/>
      <c r="DL70" s="35"/>
      <c r="DM70" s="35"/>
      <c r="DN70" s="35"/>
      <c r="DO70" t="str">
        <f t="shared" si="4"/>
        <v/>
      </c>
    </row>
    <row r="71" spans="5:119" ht="18.95" customHeight="1" x14ac:dyDescent="0.25">
      <c r="E71" s="20"/>
      <c r="F71" s="20"/>
      <c r="G71" s="20"/>
      <c r="H71" s="20"/>
      <c r="K71" s="21"/>
      <c r="L71" t="str">
        <f t="shared" ca="1" si="8"/>
        <v/>
      </c>
      <c r="O71" s="31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/>
      <c r="BX71" s="35"/>
      <c r="BY71" s="35"/>
      <c r="BZ71" s="35"/>
      <c r="CA71" s="35"/>
      <c r="CB71" s="35"/>
      <c r="CC71" s="35"/>
      <c r="CD71" s="35"/>
      <c r="CE71" s="35"/>
      <c r="CF71" s="35"/>
      <c r="CG71" s="35"/>
      <c r="CH71" s="35"/>
      <c r="CI71" s="35"/>
      <c r="CJ71" s="35"/>
      <c r="CK71" s="35"/>
      <c r="CL71" s="35"/>
      <c r="CM71" s="35"/>
      <c r="CN71" s="35"/>
      <c r="CO71" s="35"/>
      <c r="CP71" s="35"/>
      <c r="CQ71" s="35"/>
      <c r="CR71" s="35"/>
      <c r="CS71" s="35"/>
      <c r="CT71" s="35"/>
      <c r="CU71" s="35"/>
      <c r="CV71" s="35"/>
      <c r="CW71" s="35"/>
      <c r="CX71" s="35"/>
      <c r="CY71" s="35"/>
      <c r="CZ71" s="35"/>
      <c r="DA71" s="35"/>
      <c r="DB71" s="35"/>
      <c r="DC71" s="35"/>
      <c r="DD71" s="35"/>
      <c r="DE71" s="35"/>
      <c r="DF71" s="35"/>
      <c r="DG71" s="35"/>
      <c r="DH71" s="35"/>
      <c r="DI71" s="35"/>
      <c r="DJ71" s="35"/>
      <c r="DK71" s="35"/>
      <c r="DL71" s="35"/>
      <c r="DM71" s="35"/>
      <c r="DN71" s="35"/>
      <c r="DO71" t="str">
        <f t="shared" si="4"/>
        <v/>
      </c>
    </row>
    <row r="72" spans="5:119" ht="18.95" customHeight="1" x14ac:dyDescent="0.25">
      <c r="E72" s="20"/>
      <c r="F72" s="20"/>
      <c r="G72" s="20"/>
      <c r="H72" s="20"/>
      <c r="K72" s="21"/>
      <c r="L72" t="str">
        <f t="shared" ca="1" si="8"/>
        <v/>
      </c>
      <c r="O72" s="23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5"/>
      <c r="BY72" s="35"/>
      <c r="BZ72" s="35"/>
      <c r="CA72" s="35"/>
      <c r="CB72" s="35"/>
      <c r="CC72" s="35"/>
      <c r="CD72" s="35"/>
      <c r="CE72" s="35"/>
      <c r="CF72" s="35"/>
      <c r="CG72" s="35"/>
      <c r="CH72" s="35"/>
      <c r="CI72" s="35"/>
      <c r="CJ72" s="35"/>
      <c r="CK72" s="35"/>
      <c r="CL72" s="35"/>
      <c r="CM72" s="35"/>
      <c r="CN72" s="35"/>
      <c r="CO72" s="35"/>
      <c r="CP72" s="35"/>
      <c r="CQ72" s="35"/>
      <c r="CR72" s="35"/>
      <c r="CS72" s="35"/>
      <c r="CT72" s="35"/>
      <c r="CU72" s="35"/>
      <c r="CV72" s="35"/>
      <c r="CW72" s="35"/>
      <c r="CX72" s="35"/>
      <c r="CY72" s="35"/>
      <c r="CZ72" s="35"/>
      <c r="DA72" s="35"/>
      <c r="DB72" s="35"/>
      <c r="DC72" s="35"/>
      <c r="DD72" s="35"/>
      <c r="DE72" s="35"/>
      <c r="DF72" s="35"/>
      <c r="DG72" s="35"/>
      <c r="DH72" s="35"/>
      <c r="DI72" s="35"/>
      <c r="DJ72" s="35"/>
      <c r="DK72" s="35"/>
      <c r="DL72" s="35"/>
      <c r="DM72" s="35"/>
      <c r="DN72" s="35"/>
      <c r="DO72" t="str">
        <f t="shared" si="4"/>
        <v/>
      </c>
    </row>
    <row r="73" spans="5:119" ht="18.95" customHeight="1" x14ac:dyDescent="0.25">
      <c r="E73" s="20"/>
      <c r="F73" s="20"/>
      <c r="G73" s="20"/>
      <c r="H73" s="20"/>
      <c r="K73" s="21"/>
      <c r="L73" t="str">
        <f t="shared" ca="1" si="8"/>
        <v/>
      </c>
      <c r="O73" s="31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35"/>
      <c r="BY73" s="35"/>
      <c r="BZ73" s="35"/>
      <c r="CA73" s="35"/>
      <c r="CB73" s="35"/>
      <c r="CC73" s="35"/>
      <c r="CD73" s="35"/>
      <c r="CE73" s="35"/>
      <c r="CF73" s="35"/>
      <c r="CG73" s="35"/>
      <c r="CH73" s="35"/>
      <c r="CI73" s="35"/>
      <c r="CJ73" s="35"/>
      <c r="CK73" s="35"/>
      <c r="CL73" s="35"/>
      <c r="CM73" s="35"/>
      <c r="CN73" s="35"/>
      <c r="CO73" s="35"/>
      <c r="CP73" s="35"/>
      <c r="CQ73" s="35"/>
      <c r="CR73" s="35"/>
      <c r="CS73" s="35"/>
      <c r="CT73" s="35"/>
      <c r="CU73" s="35"/>
      <c r="CV73" s="35"/>
      <c r="CW73" s="35"/>
      <c r="CX73" s="35"/>
      <c r="CY73" s="35"/>
      <c r="CZ73" s="35"/>
      <c r="DA73" s="35"/>
      <c r="DB73" s="35"/>
      <c r="DC73" s="35"/>
      <c r="DD73" s="35"/>
      <c r="DE73" s="35"/>
      <c r="DF73" s="35"/>
      <c r="DG73" s="35"/>
      <c r="DH73" s="35"/>
      <c r="DI73" s="35"/>
      <c r="DJ73" s="35"/>
      <c r="DK73" s="35"/>
      <c r="DL73" s="35"/>
      <c r="DM73" s="35"/>
      <c r="DN73" s="35"/>
      <c r="DO73" t="str">
        <f t="shared" si="4"/>
        <v/>
      </c>
    </row>
    <row r="74" spans="5:119" ht="18.95" customHeight="1" x14ac:dyDescent="0.25">
      <c r="E74" s="20"/>
      <c r="F74" s="20"/>
      <c r="G74" s="20"/>
      <c r="H74" s="20"/>
      <c r="K74" s="21"/>
      <c r="L74" t="str">
        <f t="shared" ca="1" si="8"/>
        <v/>
      </c>
      <c r="O74" s="23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5"/>
      <c r="BM74" s="35"/>
      <c r="BN74" s="35"/>
      <c r="BO74" s="35"/>
      <c r="BP74" s="35"/>
      <c r="BQ74" s="35"/>
      <c r="BR74" s="35"/>
      <c r="BS74" s="35"/>
      <c r="BT74" s="35"/>
      <c r="BU74" s="35"/>
      <c r="BV74" s="35"/>
      <c r="BW74" s="35"/>
      <c r="BX74" s="35"/>
      <c r="BY74" s="35"/>
      <c r="BZ74" s="35"/>
      <c r="CA74" s="35"/>
      <c r="CB74" s="35"/>
      <c r="CC74" s="35"/>
      <c r="CD74" s="35"/>
      <c r="CE74" s="35"/>
      <c r="CF74" s="35"/>
      <c r="CG74" s="35"/>
      <c r="CH74" s="35"/>
      <c r="CI74" s="35"/>
      <c r="CJ74" s="35"/>
      <c r="CK74" s="35"/>
      <c r="CL74" s="35"/>
      <c r="CM74" s="35"/>
      <c r="CN74" s="35"/>
      <c r="CO74" s="35"/>
      <c r="CP74" s="35"/>
      <c r="CQ74" s="35"/>
      <c r="CR74" s="35"/>
      <c r="CS74" s="35"/>
      <c r="CT74" s="35"/>
      <c r="CU74" s="35"/>
      <c r="CV74" s="35"/>
      <c r="CW74" s="35"/>
      <c r="CX74" s="35"/>
      <c r="CY74" s="35"/>
      <c r="CZ74" s="35"/>
      <c r="DA74" s="35"/>
      <c r="DB74" s="35"/>
      <c r="DC74" s="35"/>
      <c r="DD74" s="35"/>
      <c r="DE74" s="35"/>
      <c r="DF74" s="35"/>
      <c r="DG74" s="35"/>
      <c r="DH74" s="35"/>
      <c r="DI74" s="35"/>
      <c r="DJ74" s="35"/>
      <c r="DK74" s="35"/>
      <c r="DL74" s="35"/>
      <c r="DM74" s="35"/>
      <c r="DN74" s="35"/>
      <c r="DO74" t="str">
        <f t="shared" si="4"/>
        <v/>
      </c>
    </row>
    <row r="75" spans="5:119" ht="18.95" customHeight="1" x14ac:dyDescent="0.25">
      <c r="E75" s="20"/>
      <c r="F75" s="20"/>
      <c r="G75" s="20"/>
      <c r="H75" s="20"/>
      <c r="K75" s="21"/>
      <c r="L75" t="str">
        <f t="shared" ca="1" si="8"/>
        <v/>
      </c>
      <c r="O75" s="31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5"/>
      <c r="CP75" s="35"/>
      <c r="CQ75" s="35"/>
      <c r="CR75" s="35"/>
      <c r="CS75" s="35"/>
      <c r="CT75" s="35"/>
      <c r="CU75" s="35"/>
      <c r="CV75" s="35"/>
      <c r="CW75" s="35"/>
      <c r="CX75" s="35"/>
      <c r="CY75" s="35"/>
      <c r="CZ75" s="35"/>
      <c r="DA75" s="35"/>
      <c r="DB75" s="35"/>
      <c r="DC75" s="35"/>
      <c r="DD75" s="35"/>
      <c r="DE75" s="35"/>
      <c r="DF75" s="35"/>
      <c r="DG75" s="35"/>
      <c r="DH75" s="35"/>
      <c r="DI75" s="35"/>
      <c r="DJ75" s="35"/>
      <c r="DK75" s="35"/>
      <c r="DL75" s="35"/>
      <c r="DM75" s="35"/>
      <c r="DN75" s="35"/>
      <c r="DO75" t="str">
        <f t="shared" si="4"/>
        <v/>
      </c>
    </row>
    <row r="76" spans="5:119" ht="18.95" customHeight="1" x14ac:dyDescent="0.25">
      <c r="E76" s="20"/>
      <c r="F76" s="20"/>
      <c r="G76" s="20"/>
      <c r="H76" s="20"/>
      <c r="K76" s="21"/>
      <c r="L76" t="str">
        <f t="shared" ca="1" si="8"/>
        <v/>
      </c>
      <c r="O76" s="23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5"/>
      <c r="BM76" s="35"/>
      <c r="BN76" s="35"/>
      <c r="BO76" s="35"/>
      <c r="BP76" s="35"/>
      <c r="BQ76" s="35"/>
      <c r="BR76" s="35"/>
      <c r="BS76" s="35"/>
      <c r="BT76" s="35"/>
      <c r="BU76" s="35"/>
      <c r="BV76" s="35"/>
      <c r="BW76" s="35"/>
      <c r="BX76" s="35"/>
      <c r="BY76" s="35"/>
      <c r="BZ76" s="35"/>
      <c r="CA76" s="35"/>
      <c r="CB76" s="35"/>
      <c r="CC76" s="35"/>
      <c r="CD76" s="35"/>
      <c r="CE76" s="35"/>
      <c r="CF76" s="35"/>
      <c r="CG76" s="35"/>
      <c r="CH76" s="35"/>
      <c r="CI76" s="35"/>
      <c r="CJ76" s="35"/>
      <c r="CK76" s="35"/>
      <c r="CL76" s="35"/>
      <c r="CM76" s="35"/>
      <c r="CN76" s="35"/>
      <c r="CO76" s="35"/>
      <c r="CP76" s="35"/>
      <c r="CQ76" s="35"/>
      <c r="CR76" s="35"/>
      <c r="CS76" s="35"/>
      <c r="CT76" s="35"/>
      <c r="CU76" s="35"/>
      <c r="CV76" s="35"/>
      <c r="CW76" s="35"/>
      <c r="CX76" s="35"/>
      <c r="CY76" s="35"/>
      <c r="CZ76" s="35"/>
      <c r="DA76" s="35"/>
      <c r="DB76" s="35"/>
      <c r="DC76" s="35"/>
      <c r="DD76" s="35"/>
      <c r="DE76" s="35"/>
      <c r="DF76" s="35"/>
      <c r="DG76" s="35"/>
      <c r="DH76" s="35"/>
      <c r="DI76" s="35"/>
      <c r="DJ76" s="35"/>
      <c r="DK76" s="35"/>
      <c r="DL76" s="35"/>
      <c r="DM76" s="35"/>
      <c r="DN76" s="35"/>
      <c r="DO76" t="str">
        <f t="shared" si="4"/>
        <v/>
      </c>
    </row>
    <row r="77" spans="5:119" ht="18.95" customHeight="1" x14ac:dyDescent="0.25">
      <c r="E77" s="20"/>
      <c r="F77" s="20"/>
      <c r="G77" s="20"/>
      <c r="H77" s="20"/>
      <c r="K77" s="21"/>
      <c r="L77" t="str">
        <f t="shared" ca="1" si="8"/>
        <v/>
      </c>
      <c r="O77" s="31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5"/>
      <c r="BM77" s="35"/>
      <c r="BN77" s="35"/>
      <c r="BO77" s="35"/>
      <c r="BP77" s="35"/>
      <c r="BQ77" s="35"/>
      <c r="BR77" s="35"/>
      <c r="BS77" s="35"/>
      <c r="BT77" s="35"/>
      <c r="BU77" s="35"/>
      <c r="BV77" s="35"/>
      <c r="BW77" s="35"/>
      <c r="BX77" s="35"/>
      <c r="BY77" s="35"/>
      <c r="BZ77" s="35"/>
      <c r="CA77" s="35"/>
      <c r="CB77" s="35"/>
      <c r="CC77" s="35"/>
      <c r="CD77" s="35"/>
      <c r="CE77" s="35"/>
      <c r="CF77" s="35"/>
      <c r="CG77" s="35"/>
      <c r="CH77" s="35"/>
      <c r="CI77" s="35"/>
      <c r="CJ77" s="35"/>
      <c r="CK77" s="35"/>
      <c r="CL77" s="35"/>
      <c r="CM77" s="35"/>
      <c r="CN77" s="35"/>
      <c r="CO77" s="35"/>
      <c r="CP77" s="35"/>
      <c r="CQ77" s="35"/>
      <c r="CR77" s="35"/>
      <c r="CS77" s="35"/>
      <c r="CT77" s="35"/>
      <c r="CU77" s="35"/>
      <c r="CV77" s="35"/>
      <c r="CW77" s="35"/>
      <c r="CX77" s="35"/>
      <c r="CY77" s="35"/>
      <c r="CZ77" s="35"/>
      <c r="DA77" s="35"/>
      <c r="DB77" s="35"/>
      <c r="DC77" s="35"/>
      <c r="DD77" s="35"/>
      <c r="DE77" s="35"/>
      <c r="DF77" s="35"/>
      <c r="DG77" s="35"/>
      <c r="DH77" s="35"/>
      <c r="DI77" s="35"/>
      <c r="DJ77" s="35"/>
      <c r="DK77" s="35"/>
      <c r="DL77" s="35"/>
      <c r="DM77" s="35"/>
      <c r="DN77" s="35"/>
      <c r="DO77" t="str">
        <f t="shared" si="4"/>
        <v/>
      </c>
    </row>
    <row r="78" spans="5:119" ht="18.95" customHeight="1" x14ac:dyDescent="0.25">
      <c r="E78" s="20"/>
      <c r="F78" s="20"/>
      <c r="G78" s="20"/>
      <c r="H78" s="20"/>
      <c r="K78" s="21"/>
      <c r="L78" t="str">
        <f t="shared" ca="1" si="8"/>
        <v/>
      </c>
      <c r="O78" s="23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5"/>
      <c r="BM78" s="35"/>
      <c r="BN78" s="35"/>
      <c r="BO78" s="35"/>
      <c r="BP78" s="35"/>
      <c r="BQ78" s="35"/>
      <c r="BR78" s="35"/>
      <c r="BS78" s="35"/>
      <c r="BT78" s="35"/>
      <c r="BU78" s="35"/>
      <c r="BV78" s="35"/>
      <c r="BW78" s="35"/>
      <c r="BX78" s="35"/>
      <c r="BY78" s="35"/>
      <c r="BZ78" s="35"/>
      <c r="CA78" s="35"/>
      <c r="CB78" s="35"/>
      <c r="CC78" s="35"/>
      <c r="CD78" s="35"/>
      <c r="CE78" s="35"/>
      <c r="CF78" s="35"/>
      <c r="CG78" s="35"/>
      <c r="CH78" s="35"/>
      <c r="CI78" s="35"/>
      <c r="CJ78" s="35"/>
      <c r="CK78" s="35"/>
      <c r="CL78" s="35"/>
      <c r="CM78" s="35"/>
      <c r="CN78" s="35"/>
      <c r="CO78" s="35"/>
      <c r="CP78" s="35"/>
      <c r="CQ78" s="35"/>
      <c r="CR78" s="35"/>
      <c r="CS78" s="35"/>
      <c r="CT78" s="35"/>
      <c r="CU78" s="35"/>
      <c r="CV78" s="35"/>
      <c r="CW78" s="35"/>
      <c r="CX78" s="35"/>
      <c r="CY78" s="35"/>
      <c r="CZ78" s="35"/>
      <c r="DA78" s="35"/>
      <c r="DB78" s="35"/>
      <c r="DC78" s="35"/>
      <c r="DD78" s="35"/>
      <c r="DE78" s="35"/>
      <c r="DF78" s="35"/>
      <c r="DG78" s="35"/>
      <c r="DH78" s="35"/>
      <c r="DI78" s="35"/>
      <c r="DJ78" s="35"/>
      <c r="DK78" s="35"/>
      <c r="DL78" s="35"/>
      <c r="DM78" s="35"/>
      <c r="DN78" s="35"/>
      <c r="DO78" t="str">
        <f t="shared" si="4"/>
        <v/>
      </c>
    </row>
    <row r="79" spans="5:119" ht="18.95" customHeight="1" x14ac:dyDescent="0.25">
      <c r="E79" s="20"/>
      <c r="F79" s="20"/>
      <c r="G79" s="20"/>
      <c r="H79" s="20"/>
      <c r="K79" s="21"/>
      <c r="L79" t="str">
        <f t="shared" ca="1" si="8"/>
        <v/>
      </c>
      <c r="O79" s="31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5"/>
      <c r="BM79" s="35"/>
      <c r="BN79" s="35"/>
      <c r="BO79" s="35"/>
      <c r="BP79" s="35"/>
      <c r="BQ79" s="35"/>
      <c r="BR79" s="35"/>
      <c r="BS79" s="35"/>
      <c r="BT79" s="35"/>
      <c r="BU79" s="35"/>
      <c r="BV79" s="35"/>
      <c r="BW79" s="35"/>
      <c r="BX79" s="35"/>
      <c r="BY79" s="35"/>
      <c r="BZ79" s="35"/>
      <c r="CA79" s="35"/>
      <c r="CB79" s="35"/>
      <c r="CC79" s="35"/>
      <c r="CD79" s="35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5"/>
      <c r="CP79" s="35"/>
      <c r="CQ79" s="35"/>
      <c r="CR79" s="35"/>
      <c r="CS79" s="35"/>
      <c r="CT79" s="35"/>
      <c r="CU79" s="35"/>
      <c r="CV79" s="35"/>
      <c r="CW79" s="35"/>
      <c r="CX79" s="35"/>
      <c r="CY79" s="35"/>
      <c r="CZ79" s="35"/>
      <c r="DA79" s="35"/>
      <c r="DB79" s="35"/>
      <c r="DC79" s="35"/>
      <c r="DD79" s="35"/>
      <c r="DE79" s="35"/>
      <c r="DF79" s="35"/>
      <c r="DG79" s="35"/>
      <c r="DH79" s="35"/>
      <c r="DI79" s="35"/>
      <c r="DJ79" s="35"/>
      <c r="DK79" s="35"/>
      <c r="DL79" s="35"/>
      <c r="DM79" s="35"/>
      <c r="DN79" s="35"/>
      <c r="DO79" t="str">
        <f t="shared" ref="DO79:DO96" si="9">IF(C79="","",IF(L79="Complete",1,0))</f>
        <v/>
      </c>
    </row>
    <row r="80" spans="5:119" ht="18.95" customHeight="1" x14ac:dyDescent="0.25">
      <c r="E80" s="20"/>
      <c r="F80" s="20"/>
      <c r="G80" s="20"/>
      <c r="H80" s="20"/>
      <c r="K80" s="21"/>
      <c r="L80" t="str">
        <f t="shared" ca="1" si="8"/>
        <v/>
      </c>
      <c r="O80" s="23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5"/>
      <c r="BM80" s="35"/>
      <c r="BN80" s="35"/>
      <c r="BO80" s="35"/>
      <c r="BP80" s="35"/>
      <c r="BQ80" s="35"/>
      <c r="BR80" s="35"/>
      <c r="BS80" s="35"/>
      <c r="BT80" s="35"/>
      <c r="BU80" s="35"/>
      <c r="BV80" s="35"/>
      <c r="BW80" s="35"/>
      <c r="BX80" s="35"/>
      <c r="BY80" s="35"/>
      <c r="BZ80" s="35"/>
      <c r="CA80" s="35"/>
      <c r="CB80" s="35"/>
      <c r="CC80" s="35"/>
      <c r="CD80" s="35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5"/>
      <c r="CP80" s="35"/>
      <c r="CQ80" s="35"/>
      <c r="CR80" s="35"/>
      <c r="CS80" s="35"/>
      <c r="CT80" s="35"/>
      <c r="CU80" s="35"/>
      <c r="CV80" s="35"/>
      <c r="CW80" s="35"/>
      <c r="CX80" s="35"/>
      <c r="CY80" s="35"/>
      <c r="CZ80" s="35"/>
      <c r="DA80" s="35"/>
      <c r="DB80" s="35"/>
      <c r="DC80" s="35"/>
      <c r="DD80" s="35"/>
      <c r="DE80" s="35"/>
      <c r="DF80" s="35"/>
      <c r="DG80" s="35"/>
      <c r="DH80" s="35"/>
      <c r="DI80" s="35"/>
      <c r="DJ80" s="35"/>
      <c r="DK80" s="35"/>
      <c r="DL80" s="35"/>
      <c r="DM80" s="35"/>
      <c r="DN80" s="35"/>
      <c r="DO80" t="str">
        <f t="shared" si="9"/>
        <v/>
      </c>
    </row>
    <row r="81" spans="5:119" ht="18.95" customHeight="1" x14ac:dyDescent="0.25">
      <c r="E81" s="20"/>
      <c r="F81" s="20"/>
      <c r="G81" s="20"/>
      <c r="H81" s="20"/>
      <c r="K81" s="21"/>
      <c r="L81" t="str">
        <f t="shared" ca="1" si="8"/>
        <v/>
      </c>
      <c r="O81" s="31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5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5"/>
      <c r="CP81" s="35"/>
      <c r="CQ81" s="35"/>
      <c r="CR81" s="35"/>
      <c r="CS81" s="35"/>
      <c r="CT81" s="35"/>
      <c r="CU81" s="35"/>
      <c r="CV81" s="35"/>
      <c r="CW81" s="35"/>
      <c r="CX81" s="35"/>
      <c r="CY81" s="35"/>
      <c r="CZ81" s="35"/>
      <c r="DA81" s="35"/>
      <c r="DB81" s="35"/>
      <c r="DC81" s="35"/>
      <c r="DD81" s="35"/>
      <c r="DE81" s="35"/>
      <c r="DF81" s="35"/>
      <c r="DG81" s="35"/>
      <c r="DH81" s="35"/>
      <c r="DI81" s="35"/>
      <c r="DJ81" s="35"/>
      <c r="DK81" s="35"/>
      <c r="DL81" s="35"/>
      <c r="DM81" s="35"/>
      <c r="DN81" s="35"/>
      <c r="DO81" t="str">
        <f t="shared" si="9"/>
        <v/>
      </c>
    </row>
    <row r="82" spans="5:119" ht="18.95" customHeight="1" x14ac:dyDescent="0.25">
      <c r="E82" s="20"/>
      <c r="F82" s="20"/>
      <c r="G82" s="20"/>
      <c r="H82" s="20"/>
      <c r="K82" s="21"/>
      <c r="L82" t="str">
        <f t="shared" ca="1" si="8"/>
        <v/>
      </c>
      <c r="O82" s="23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5"/>
      <c r="BZ82" s="35"/>
      <c r="CA82" s="35"/>
      <c r="CB82" s="35"/>
      <c r="CC82" s="35"/>
      <c r="CD82" s="35"/>
      <c r="CE82" s="35"/>
      <c r="CF82" s="35"/>
      <c r="CG82" s="35"/>
      <c r="CH82" s="35"/>
      <c r="CI82" s="35"/>
      <c r="CJ82" s="35"/>
      <c r="CK82" s="35"/>
      <c r="CL82" s="35"/>
      <c r="CM82" s="35"/>
      <c r="CN82" s="35"/>
      <c r="CO82" s="35"/>
      <c r="CP82" s="35"/>
      <c r="CQ82" s="35"/>
      <c r="CR82" s="35"/>
      <c r="CS82" s="35"/>
      <c r="CT82" s="35"/>
      <c r="CU82" s="35"/>
      <c r="CV82" s="35"/>
      <c r="CW82" s="35"/>
      <c r="CX82" s="35"/>
      <c r="CY82" s="35"/>
      <c r="CZ82" s="35"/>
      <c r="DA82" s="35"/>
      <c r="DB82" s="35"/>
      <c r="DC82" s="35"/>
      <c r="DD82" s="35"/>
      <c r="DE82" s="35"/>
      <c r="DF82" s="35"/>
      <c r="DG82" s="35"/>
      <c r="DH82" s="35"/>
      <c r="DI82" s="35"/>
      <c r="DJ82" s="35"/>
      <c r="DK82" s="35"/>
      <c r="DL82" s="35"/>
      <c r="DM82" s="35"/>
      <c r="DN82" s="35"/>
      <c r="DO82" t="str">
        <f t="shared" si="9"/>
        <v/>
      </c>
    </row>
    <row r="83" spans="5:119" ht="18.95" customHeight="1" x14ac:dyDescent="0.25">
      <c r="E83" s="20"/>
      <c r="F83" s="20"/>
      <c r="G83" s="20"/>
      <c r="H83" s="20"/>
      <c r="K83" s="21"/>
      <c r="L83" t="str">
        <f t="shared" ca="1" si="8"/>
        <v/>
      </c>
      <c r="O83" s="31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5"/>
      <c r="BM83" s="35"/>
      <c r="BN83" s="35"/>
      <c r="BO83" s="35"/>
      <c r="BP83" s="35"/>
      <c r="BQ83" s="35"/>
      <c r="BR83" s="35"/>
      <c r="BS83" s="35"/>
      <c r="BT83" s="35"/>
      <c r="BU83" s="35"/>
      <c r="BV83" s="35"/>
      <c r="BW83" s="35"/>
      <c r="BX83" s="35"/>
      <c r="BY83" s="35"/>
      <c r="BZ83" s="35"/>
      <c r="CA83" s="35"/>
      <c r="CB83" s="35"/>
      <c r="CC83" s="35"/>
      <c r="CD83" s="35"/>
      <c r="CE83" s="35"/>
      <c r="CF83" s="35"/>
      <c r="CG83" s="35"/>
      <c r="CH83" s="35"/>
      <c r="CI83" s="35"/>
      <c r="CJ83" s="35"/>
      <c r="CK83" s="35"/>
      <c r="CL83" s="35"/>
      <c r="CM83" s="35"/>
      <c r="CN83" s="35"/>
      <c r="CO83" s="35"/>
      <c r="CP83" s="35"/>
      <c r="CQ83" s="35"/>
      <c r="CR83" s="35"/>
      <c r="CS83" s="35"/>
      <c r="CT83" s="35"/>
      <c r="CU83" s="35"/>
      <c r="CV83" s="35"/>
      <c r="CW83" s="35"/>
      <c r="CX83" s="35"/>
      <c r="CY83" s="35"/>
      <c r="CZ83" s="35"/>
      <c r="DA83" s="35"/>
      <c r="DB83" s="35"/>
      <c r="DC83" s="35"/>
      <c r="DD83" s="35"/>
      <c r="DE83" s="35"/>
      <c r="DF83" s="35"/>
      <c r="DG83" s="35"/>
      <c r="DH83" s="35"/>
      <c r="DI83" s="35"/>
      <c r="DJ83" s="35"/>
      <c r="DK83" s="35"/>
      <c r="DL83" s="35"/>
      <c r="DM83" s="35"/>
      <c r="DN83" s="35"/>
      <c r="DO83" t="str">
        <f t="shared" si="9"/>
        <v/>
      </c>
    </row>
    <row r="84" spans="5:119" ht="18.95" customHeight="1" x14ac:dyDescent="0.25">
      <c r="E84" s="20"/>
      <c r="F84" s="20"/>
      <c r="G84" s="20"/>
      <c r="H84" s="20"/>
      <c r="K84" s="21"/>
      <c r="L84" t="str">
        <f t="shared" ca="1" si="8"/>
        <v/>
      </c>
      <c r="O84" s="23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  <c r="BU84" s="35"/>
      <c r="BV84" s="35"/>
      <c r="BW84" s="35"/>
      <c r="BX84" s="35"/>
      <c r="BY84" s="35"/>
      <c r="BZ84" s="35"/>
      <c r="CA84" s="35"/>
      <c r="CB84" s="35"/>
      <c r="CC84" s="35"/>
      <c r="CD84" s="35"/>
      <c r="CE84" s="35"/>
      <c r="CF84" s="35"/>
      <c r="CG84" s="35"/>
      <c r="CH84" s="35"/>
      <c r="CI84" s="35"/>
      <c r="CJ84" s="35"/>
      <c r="CK84" s="35"/>
      <c r="CL84" s="35"/>
      <c r="CM84" s="35"/>
      <c r="CN84" s="35"/>
      <c r="CO84" s="35"/>
      <c r="CP84" s="35"/>
      <c r="CQ84" s="35"/>
      <c r="CR84" s="35"/>
      <c r="CS84" s="35"/>
      <c r="CT84" s="35"/>
      <c r="CU84" s="35"/>
      <c r="CV84" s="35"/>
      <c r="CW84" s="35"/>
      <c r="CX84" s="35"/>
      <c r="CY84" s="35"/>
      <c r="CZ84" s="35"/>
      <c r="DA84" s="35"/>
      <c r="DB84" s="35"/>
      <c r="DC84" s="35"/>
      <c r="DD84" s="35"/>
      <c r="DE84" s="35"/>
      <c r="DF84" s="35"/>
      <c r="DG84" s="35"/>
      <c r="DH84" s="35"/>
      <c r="DI84" s="35"/>
      <c r="DJ84" s="35"/>
      <c r="DK84" s="35"/>
      <c r="DL84" s="35"/>
      <c r="DM84" s="35"/>
      <c r="DN84" s="35"/>
      <c r="DO84" t="str">
        <f t="shared" si="9"/>
        <v/>
      </c>
    </row>
    <row r="85" spans="5:119" ht="18.95" customHeight="1" x14ac:dyDescent="0.25">
      <c r="E85" s="20"/>
      <c r="F85" s="20"/>
      <c r="G85" s="20"/>
      <c r="H85" s="20"/>
      <c r="K85" s="21"/>
      <c r="L85" t="str">
        <f t="shared" ca="1" si="8"/>
        <v/>
      </c>
      <c r="O85" s="31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5"/>
      <c r="BM85" s="35"/>
      <c r="BN85" s="35"/>
      <c r="BO85" s="35"/>
      <c r="BP85" s="35"/>
      <c r="BQ85" s="35"/>
      <c r="BR85" s="35"/>
      <c r="BS85" s="35"/>
      <c r="BT85" s="35"/>
      <c r="BU85" s="35"/>
      <c r="BV85" s="35"/>
      <c r="BW85" s="35"/>
      <c r="BX85" s="35"/>
      <c r="BY85" s="35"/>
      <c r="BZ85" s="35"/>
      <c r="CA85" s="35"/>
      <c r="CB85" s="35"/>
      <c r="CC85" s="35"/>
      <c r="CD85" s="35"/>
      <c r="CE85" s="35"/>
      <c r="CF85" s="35"/>
      <c r="CG85" s="35"/>
      <c r="CH85" s="35"/>
      <c r="CI85" s="35"/>
      <c r="CJ85" s="35"/>
      <c r="CK85" s="35"/>
      <c r="CL85" s="35"/>
      <c r="CM85" s="35"/>
      <c r="CN85" s="35"/>
      <c r="CO85" s="35"/>
      <c r="CP85" s="35"/>
      <c r="CQ85" s="35"/>
      <c r="CR85" s="35"/>
      <c r="CS85" s="35"/>
      <c r="CT85" s="35"/>
      <c r="CU85" s="35"/>
      <c r="CV85" s="35"/>
      <c r="CW85" s="35"/>
      <c r="CX85" s="35"/>
      <c r="CY85" s="35"/>
      <c r="CZ85" s="35"/>
      <c r="DA85" s="35"/>
      <c r="DB85" s="35"/>
      <c r="DC85" s="35"/>
      <c r="DD85" s="35"/>
      <c r="DE85" s="35"/>
      <c r="DF85" s="35"/>
      <c r="DG85" s="35"/>
      <c r="DH85" s="35"/>
      <c r="DI85" s="35"/>
      <c r="DJ85" s="35"/>
      <c r="DK85" s="35"/>
      <c r="DL85" s="35"/>
      <c r="DM85" s="35"/>
      <c r="DN85" s="35"/>
      <c r="DO85" t="str">
        <f t="shared" si="9"/>
        <v/>
      </c>
    </row>
    <row r="86" spans="5:119" ht="18.95" customHeight="1" x14ac:dyDescent="0.25">
      <c r="E86" s="20"/>
      <c r="F86" s="20"/>
      <c r="G86" s="20"/>
      <c r="H86" s="20"/>
      <c r="K86" s="21"/>
      <c r="L86" t="str">
        <f t="shared" ca="1" si="8"/>
        <v/>
      </c>
      <c r="O86" s="23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5"/>
      <c r="BM86" s="35"/>
      <c r="BN86" s="35"/>
      <c r="BO86" s="35"/>
      <c r="BP86" s="35"/>
      <c r="BQ86" s="35"/>
      <c r="BR86" s="35"/>
      <c r="BS86" s="35"/>
      <c r="BT86" s="35"/>
      <c r="BU86" s="35"/>
      <c r="BV86" s="35"/>
      <c r="BW86" s="35"/>
      <c r="BX86" s="35"/>
      <c r="BY86" s="35"/>
      <c r="BZ86" s="35"/>
      <c r="CA86" s="35"/>
      <c r="CB86" s="35"/>
      <c r="CC86" s="35"/>
      <c r="CD86" s="35"/>
      <c r="CE86" s="35"/>
      <c r="CF86" s="35"/>
      <c r="CG86" s="35"/>
      <c r="CH86" s="35"/>
      <c r="CI86" s="35"/>
      <c r="CJ86" s="35"/>
      <c r="CK86" s="35"/>
      <c r="CL86" s="35"/>
      <c r="CM86" s="35"/>
      <c r="CN86" s="35"/>
      <c r="CO86" s="35"/>
      <c r="CP86" s="35"/>
      <c r="CQ86" s="35"/>
      <c r="CR86" s="35"/>
      <c r="CS86" s="35"/>
      <c r="CT86" s="35"/>
      <c r="CU86" s="35"/>
      <c r="CV86" s="35"/>
      <c r="CW86" s="35"/>
      <c r="CX86" s="35"/>
      <c r="CY86" s="35"/>
      <c r="CZ86" s="35"/>
      <c r="DA86" s="35"/>
      <c r="DB86" s="35"/>
      <c r="DC86" s="35"/>
      <c r="DD86" s="35"/>
      <c r="DE86" s="35"/>
      <c r="DF86" s="35"/>
      <c r="DG86" s="35"/>
      <c r="DH86" s="35"/>
      <c r="DI86" s="35"/>
      <c r="DJ86" s="35"/>
      <c r="DK86" s="35"/>
      <c r="DL86" s="35"/>
      <c r="DM86" s="35"/>
      <c r="DN86" s="35"/>
      <c r="DO86" t="str">
        <f t="shared" si="9"/>
        <v/>
      </c>
    </row>
    <row r="87" spans="5:119" ht="18.95" customHeight="1" x14ac:dyDescent="0.25">
      <c r="E87" s="20"/>
      <c r="F87" s="20"/>
      <c r="G87" s="20"/>
      <c r="H87" s="20"/>
      <c r="K87" s="21"/>
      <c r="L87" t="str">
        <f t="shared" ca="1" si="8"/>
        <v/>
      </c>
      <c r="O87" s="31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5"/>
      <c r="BM87" s="35"/>
      <c r="BN87" s="35"/>
      <c r="BO87" s="35"/>
      <c r="BP87" s="35"/>
      <c r="BQ87" s="35"/>
      <c r="BR87" s="35"/>
      <c r="BS87" s="35"/>
      <c r="BT87" s="35"/>
      <c r="BU87" s="35"/>
      <c r="BV87" s="35"/>
      <c r="BW87" s="35"/>
      <c r="BX87" s="35"/>
      <c r="BY87" s="35"/>
      <c r="BZ87" s="35"/>
      <c r="CA87" s="35"/>
      <c r="CB87" s="35"/>
      <c r="CC87" s="35"/>
      <c r="CD87" s="35"/>
      <c r="CE87" s="35"/>
      <c r="CF87" s="35"/>
      <c r="CG87" s="35"/>
      <c r="CH87" s="35"/>
      <c r="CI87" s="35"/>
      <c r="CJ87" s="35"/>
      <c r="CK87" s="35"/>
      <c r="CL87" s="35"/>
      <c r="CM87" s="35"/>
      <c r="CN87" s="35"/>
      <c r="CO87" s="35"/>
      <c r="CP87" s="35"/>
      <c r="CQ87" s="35"/>
      <c r="CR87" s="35"/>
      <c r="CS87" s="35"/>
      <c r="CT87" s="35"/>
      <c r="CU87" s="35"/>
      <c r="CV87" s="35"/>
      <c r="CW87" s="35"/>
      <c r="CX87" s="35"/>
      <c r="CY87" s="35"/>
      <c r="CZ87" s="35"/>
      <c r="DA87" s="35"/>
      <c r="DB87" s="35"/>
      <c r="DC87" s="35"/>
      <c r="DD87" s="35"/>
      <c r="DE87" s="35"/>
      <c r="DF87" s="35"/>
      <c r="DG87" s="35"/>
      <c r="DH87" s="35"/>
      <c r="DI87" s="35"/>
      <c r="DJ87" s="35"/>
      <c r="DK87" s="35"/>
      <c r="DL87" s="35"/>
      <c r="DM87" s="35"/>
      <c r="DN87" s="35"/>
      <c r="DO87" t="str">
        <f t="shared" si="9"/>
        <v/>
      </c>
    </row>
    <row r="88" spans="5:119" ht="18.95" customHeight="1" x14ac:dyDescent="0.25">
      <c r="E88" s="20"/>
      <c r="F88" s="20"/>
      <c r="G88" s="20"/>
      <c r="H88" s="20"/>
      <c r="K88" s="21"/>
      <c r="L88" t="str">
        <f t="shared" ca="1" si="8"/>
        <v/>
      </c>
      <c r="O88" s="23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  <c r="BU88" s="35"/>
      <c r="BV88" s="35"/>
      <c r="BW88" s="35"/>
      <c r="BX88" s="35"/>
      <c r="BY88" s="35"/>
      <c r="BZ88" s="35"/>
      <c r="CA88" s="35"/>
      <c r="CB88" s="35"/>
      <c r="CC88" s="35"/>
      <c r="CD88" s="35"/>
      <c r="CE88" s="35"/>
      <c r="CF88" s="35"/>
      <c r="CG88" s="35"/>
      <c r="CH88" s="35"/>
      <c r="CI88" s="35"/>
      <c r="CJ88" s="35"/>
      <c r="CK88" s="35"/>
      <c r="CL88" s="35"/>
      <c r="CM88" s="35"/>
      <c r="CN88" s="35"/>
      <c r="CO88" s="35"/>
      <c r="CP88" s="35"/>
      <c r="CQ88" s="35"/>
      <c r="CR88" s="35"/>
      <c r="CS88" s="35"/>
      <c r="CT88" s="35"/>
      <c r="CU88" s="35"/>
      <c r="CV88" s="35"/>
      <c r="CW88" s="35"/>
      <c r="CX88" s="35"/>
      <c r="CY88" s="35"/>
      <c r="CZ88" s="35"/>
      <c r="DA88" s="35"/>
      <c r="DB88" s="35"/>
      <c r="DC88" s="35"/>
      <c r="DD88" s="35"/>
      <c r="DE88" s="35"/>
      <c r="DF88" s="35"/>
      <c r="DG88" s="35"/>
      <c r="DH88" s="35"/>
      <c r="DI88" s="35"/>
      <c r="DJ88" s="35"/>
      <c r="DK88" s="35"/>
      <c r="DL88" s="35"/>
      <c r="DM88" s="35"/>
      <c r="DN88" s="35"/>
      <c r="DO88" t="str">
        <f t="shared" si="9"/>
        <v/>
      </c>
    </row>
    <row r="89" spans="5:119" ht="18.95" customHeight="1" x14ac:dyDescent="0.25">
      <c r="E89" s="20"/>
      <c r="F89" s="20"/>
      <c r="G89" s="20"/>
      <c r="H89" s="20"/>
      <c r="K89" s="21"/>
      <c r="L89" t="str">
        <f t="shared" ca="1" si="8"/>
        <v/>
      </c>
      <c r="O89" s="31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  <c r="BU89" s="35"/>
      <c r="BV89" s="35"/>
      <c r="BW89" s="35"/>
      <c r="BX89" s="35"/>
      <c r="BY89" s="35"/>
      <c r="BZ89" s="35"/>
      <c r="CA89" s="35"/>
      <c r="CB89" s="35"/>
      <c r="CC89" s="35"/>
      <c r="CD89" s="35"/>
      <c r="CE89" s="35"/>
      <c r="CF89" s="35"/>
      <c r="CG89" s="35"/>
      <c r="CH89" s="35"/>
      <c r="CI89" s="35"/>
      <c r="CJ89" s="35"/>
      <c r="CK89" s="35"/>
      <c r="CL89" s="35"/>
      <c r="CM89" s="35"/>
      <c r="CN89" s="35"/>
      <c r="CO89" s="35"/>
      <c r="CP89" s="35"/>
      <c r="CQ89" s="35"/>
      <c r="CR89" s="35"/>
      <c r="CS89" s="35"/>
      <c r="CT89" s="35"/>
      <c r="CU89" s="35"/>
      <c r="CV89" s="35"/>
      <c r="CW89" s="35"/>
      <c r="CX89" s="35"/>
      <c r="CY89" s="35"/>
      <c r="CZ89" s="35"/>
      <c r="DA89" s="35"/>
      <c r="DB89" s="35"/>
      <c r="DC89" s="35"/>
      <c r="DD89" s="35"/>
      <c r="DE89" s="35"/>
      <c r="DF89" s="35"/>
      <c r="DG89" s="35"/>
      <c r="DH89" s="35"/>
      <c r="DI89" s="35"/>
      <c r="DJ89" s="35"/>
      <c r="DK89" s="35"/>
      <c r="DL89" s="35"/>
      <c r="DM89" s="35"/>
      <c r="DN89" s="35"/>
      <c r="DO89" t="str">
        <f t="shared" si="9"/>
        <v/>
      </c>
    </row>
    <row r="90" spans="5:119" ht="18.95" customHeight="1" x14ac:dyDescent="0.25">
      <c r="E90" s="20"/>
      <c r="F90" s="20"/>
      <c r="G90" s="20"/>
      <c r="H90" s="20"/>
      <c r="K90" s="21"/>
      <c r="L90" t="str">
        <f t="shared" ca="1" si="8"/>
        <v/>
      </c>
      <c r="O90" s="23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5"/>
      <c r="BZ90" s="35"/>
      <c r="CA90" s="35"/>
      <c r="CB90" s="35"/>
      <c r="CC90" s="35"/>
      <c r="CD90" s="35"/>
      <c r="CE90" s="35"/>
      <c r="CF90" s="35"/>
      <c r="CG90" s="35"/>
      <c r="CH90" s="35"/>
      <c r="CI90" s="35"/>
      <c r="CJ90" s="35"/>
      <c r="CK90" s="35"/>
      <c r="CL90" s="35"/>
      <c r="CM90" s="35"/>
      <c r="CN90" s="35"/>
      <c r="CO90" s="35"/>
      <c r="CP90" s="35"/>
      <c r="CQ90" s="35"/>
      <c r="CR90" s="35"/>
      <c r="CS90" s="35"/>
      <c r="CT90" s="35"/>
      <c r="CU90" s="35"/>
      <c r="CV90" s="35"/>
      <c r="CW90" s="35"/>
      <c r="CX90" s="35"/>
      <c r="CY90" s="35"/>
      <c r="CZ90" s="35"/>
      <c r="DA90" s="35"/>
      <c r="DB90" s="35"/>
      <c r="DC90" s="35"/>
      <c r="DD90" s="35"/>
      <c r="DE90" s="35"/>
      <c r="DF90" s="35"/>
      <c r="DG90" s="35"/>
      <c r="DH90" s="35"/>
      <c r="DI90" s="35"/>
      <c r="DJ90" s="35"/>
      <c r="DK90" s="35"/>
      <c r="DL90" s="35"/>
      <c r="DM90" s="35"/>
      <c r="DN90" s="35"/>
      <c r="DO90" t="str">
        <f t="shared" si="9"/>
        <v/>
      </c>
    </row>
    <row r="91" spans="5:119" ht="18.95" customHeight="1" x14ac:dyDescent="0.25">
      <c r="E91" s="20"/>
      <c r="F91" s="20"/>
      <c r="G91" s="20"/>
      <c r="H91" s="20"/>
      <c r="K91" s="21"/>
      <c r="L91" t="str">
        <f t="shared" ca="1" si="8"/>
        <v/>
      </c>
      <c r="O91" s="31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35"/>
      <c r="BT91" s="35"/>
      <c r="BU91" s="35"/>
      <c r="BV91" s="35"/>
      <c r="BW91" s="35"/>
      <c r="BX91" s="35"/>
      <c r="BY91" s="35"/>
      <c r="BZ91" s="35"/>
      <c r="CA91" s="35"/>
      <c r="CB91" s="35"/>
      <c r="CC91" s="35"/>
      <c r="CD91" s="35"/>
      <c r="CE91" s="35"/>
      <c r="CF91" s="35"/>
      <c r="CG91" s="35"/>
      <c r="CH91" s="35"/>
      <c r="CI91" s="35"/>
      <c r="CJ91" s="35"/>
      <c r="CK91" s="35"/>
      <c r="CL91" s="35"/>
      <c r="CM91" s="35"/>
      <c r="CN91" s="35"/>
      <c r="CO91" s="35"/>
      <c r="CP91" s="35"/>
      <c r="CQ91" s="35"/>
      <c r="CR91" s="35"/>
      <c r="CS91" s="35"/>
      <c r="CT91" s="35"/>
      <c r="CU91" s="35"/>
      <c r="CV91" s="35"/>
      <c r="CW91" s="35"/>
      <c r="CX91" s="35"/>
      <c r="CY91" s="35"/>
      <c r="CZ91" s="35"/>
      <c r="DA91" s="35"/>
      <c r="DB91" s="35"/>
      <c r="DC91" s="35"/>
      <c r="DD91" s="35"/>
      <c r="DE91" s="35"/>
      <c r="DF91" s="35"/>
      <c r="DG91" s="35"/>
      <c r="DH91" s="35"/>
      <c r="DI91" s="35"/>
      <c r="DJ91" s="35"/>
      <c r="DK91" s="35"/>
      <c r="DL91" s="35"/>
      <c r="DM91" s="35"/>
      <c r="DN91" s="35"/>
      <c r="DO91" t="str">
        <f t="shared" si="9"/>
        <v/>
      </c>
    </row>
    <row r="92" spans="5:119" ht="18.95" customHeight="1" x14ac:dyDescent="0.25">
      <c r="E92" s="20"/>
      <c r="F92" s="20"/>
      <c r="G92" s="20"/>
      <c r="H92" s="20"/>
      <c r="K92" s="21"/>
      <c r="L92" t="str">
        <f t="shared" ca="1" si="8"/>
        <v/>
      </c>
      <c r="O92" s="23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5"/>
      <c r="BM92" s="35"/>
      <c r="BN92" s="35"/>
      <c r="BO92" s="35"/>
      <c r="BP92" s="35"/>
      <c r="BQ92" s="35"/>
      <c r="BR92" s="35"/>
      <c r="BS92" s="35"/>
      <c r="BT92" s="35"/>
      <c r="BU92" s="35"/>
      <c r="BV92" s="35"/>
      <c r="BW92" s="35"/>
      <c r="BX92" s="35"/>
      <c r="BY92" s="35"/>
      <c r="BZ92" s="35"/>
      <c r="CA92" s="35"/>
      <c r="CB92" s="35"/>
      <c r="CC92" s="35"/>
      <c r="CD92" s="35"/>
      <c r="CE92" s="35"/>
      <c r="CF92" s="35"/>
      <c r="CG92" s="35"/>
      <c r="CH92" s="35"/>
      <c r="CI92" s="35"/>
      <c r="CJ92" s="35"/>
      <c r="CK92" s="35"/>
      <c r="CL92" s="35"/>
      <c r="CM92" s="35"/>
      <c r="CN92" s="35"/>
      <c r="CO92" s="35"/>
      <c r="CP92" s="35"/>
      <c r="CQ92" s="35"/>
      <c r="CR92" s="35"/>
      <c r="CS92" s="35"/>
      <c r="CT92" s="35"/>
      <c r="CU92" s="35"/>
      <c r="CV92" s="35"/>
      <c r="CW92" s="35"/>
      <c r="CX92" s="35"/>
      <c r="CY92" s="35"/>
      <c r="CZ92" s="35"/>
      <c r="DA92" s="35"/>
      <c r="DB92" s="35"/>
      <c r="DC92" s="35"/>
      <c r="DD92" s="35"/>
      <c r="DE92" s="35"/>
      <c r="DF92" s="35"/>
      <c r="DG92" s="35"/>
      <c r="DH92" s="35"/>
      <c r="DI92" s="35"/>
      <c r="DJ92" s="35"/>
      <c r="DK92" s="35"/>
      <c r="DL92" s="35"/>
      <c r="DM92" s="35"/>
      <c r="DN92" s="35"/>
      <c r="DO92" t="str">
        <f t="shared" si="9"/>
        <v/>
      </c>
    </row>
    <row r="93" spans="5:119" ht="18.95" customHeight="1" x14ac:dyDescent="0.25">
      <c r="E93" s="20"/>
      <c r="F93" s="20"/>
      <c r="G93" s="20"/>
      <c r="H93" s="20"/>
      <c r="K93" s="21"/>
      <c r="L93" t="str">
        <f t="shared" ca="1" si="8"/>
        <v/>
      </c>
      <c r="O93" s="31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5"/>
      <c r="BM93" s="35"/>
      <c r="BN93" s="35"/>
      <c r="BO93" s="35"/>
      <c r="BP93" s="35"/>
      <c r="BQ93" s="35"/>
      <c r="BR93" s="35"/>
      <c r="BS93" s="35"/>
      <c r="BT93" s="35"/>
      <c r="BU93" s="35"/>
      <c r="BV93" s="35"/>
      <c r="BW93" s="35"/>
      <c r="BX93" s="35"/>
      <c r="BY93" s="35"/>
      <c r="BZ93" s="35"/>
      <c r="CA93" s="35"/>
      <c r="CB93" s="35"/>
      <c r="CC93" s="35"/>
      <c r="CD93" s="35"/>
      <c r="CE93" s="35"/>
      <c r="CF93" s="35"/>
      <c r="CG93" s="35"/>
      <c r="CH93" s="35"/>
      <c r="CI93" s="35"/>
      <c r="CJ93" s="35"/>
      <c r="CK93" s="35"/>
      <c r="CL93" s="35"/>
      <c r="CM93" s="35"/>
      <c r="CN93" s="35"/>
      <c r="CO93" s="35"/>
      <c r="CP93" s="35"/>
      <c r="CQ93" s="35"/>
      <c r="CR93" s="35"/>
      <c r="CS93" s="35"/>
      <c r="CT93" s="35"/>
      <c r="CU93" s="35"/>
      <c r="CV93" s="35"/>
      <c r="CW93" s="35"/>
      <c r="CX93" s="35"/>
      <c r="CY93" s="35"/>
      <c r="CZ93" s="35"/>
      <c r="DA93" s="35"/>
      <c r="DB93" s="35"/>
      <c r="DC93" s="35"/>
      <c r="DD93" s="35"/>
      <c r="DE93" s="35"/>
      <c r="DF93" s="35"/>
      <c r="DG93" s="35"/>
      <c r="DH93" s="35"/>
      <c r="DI93" s="35"/>
      <c r="DJ93" s="35"/>
      <c r="DK93" s="35"/>
      <c r="DL93" s="35"/>
      <c r="DM93" s="35"/>
      <c r="DN93" s="35"/>
      <c r="DO93" t="str">
        <f t="shared" si="9"/>
        <v/>
      </c>
    </row>
    <row r="94" spans="5:119" ht="18.95" customHeight="1" x14ac:dyDescent="0.25">
      <c r="E94" s="20"/>
      <c r="F94" s="20"/>
      <c r="G94" s="20"/>
      <c r="H94" s="20"/>
      <c r="K94" s="21"/>
      <c r="L94" t="str">
        <f t="shared" ca="1" si="8"/>
        <v/>
      </c>
      <c r="O94" s="23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5"/>
      <c r="BC94" s="35"/>
      <c r="BD94" s="35"/>
      <c r="BE94" s="35"/>
      <c r="BF94" s="35"/>
      <c r="BG94" s="35"/>
      <c r="BH94" s="35"/>
      <c r="BI94" s="35"/>
      <c r="BJ94" s="35"/>
      <c r="BK94" s="35"/>
      <c r="BL94" s="35"/>
      <c r="BM94" s="35"/>
      <c r="BN94" s="35"/>
      <c r="BO94" s="35"/>
      <c r="BP94" s="35"/>
      <c r="BQ94" s="35"/>
      <c r="BR94" s="35"/>
      <c r="BS94" s="35"/>
      <c r="BT94" s="35"/>
      <c r="BU94" s="35"/>
      <c r="BV94" s="35"/>
      <c r="BW94" s="35"/>
      <c r="BX94" s="35"/>
      <c r="BY94" s="35"/>
      <c r="BZ94" s="35"/>
      <c r="CA94" s="35"/>
      <c r="CB94" s="35"/>
      <c r="CC94" s="35"/>
      <c r="CD94" s="35"/>
      <c r="CE94" s="35"/>
      <c r="CF94" s="35"/>
      <c r="CG94" s="35"/>
      <c r="CH94" s="35"/>
      <c r="CI94" s="35"/>
      <c r="CJ94" s="35"/>
      <c r="CK94" s="35"/>
      <c r="CL94" s="35"/>
      <c r="CM94" s="35"/>
      <c r="CN94" s="35"/>
      <c r="CO94" s="35"/>
      <c r="CP94" s="35"/>
      <c r="CQ94" s="35"/>
      <c r="CR94" s="35"/>
      <c r="CS94" s="35"/>
      <c r="CT94" s="35"/>
      <c r="CU94" s="35"/>
      <c r="CV94" s="35"/>
      <c r="CW94" s="35"/>
      <c r="CX94" s="35"/>
      <c r="CY94" s="35"/>
      <c r="CZ94" s="35"/>
      <c r="DA94" s="35"/>
      <c r="DB94" s="35"/>
      <c r="DC94" s="35"/>
      <c r="DD94" s="35"/>
      <c r="DE94" s="35"/>
      <c r="DF94" s="35"/>
      <c r="DG94" s="35"/>
      <c r="DH94" s="35"/>
      <c r="DI94" s="35"/>
      <c r="DJ94" s="35"/>
      <c r="DK94" s="35"/>
      <c r="DL94" s="35"/>
      <c r="DM94" s="35"/>
      <c r="DN94" s="35"/>
      <c r="DO94" t="str">
        <f t="shared" si="9"/>
        <v/>
      </c>
    </row>
    <row r="95" spans="5:119" ht="18.95" customHeight="1" x14ac:dyDescent="0.25">
      <c r="E95" s="20"/>
      <c r="F95" s="20"/>
      <c r="G95" s="20"/>
      <c r="H95" s="20"/>
      <c r="K95" s="21"/>
      <c r="L95" t="str">
        <f t="shared" ca="1" si="8"/>
        <v/>
      </c>
      <c r="O95" s="31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5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5"/>
      <c r="CR95" s="35"/>
      <c r="CS95" s="35"/>
      <c r="CT95" s="35"/>
      <c r="CU95" s="35"/>
      <c r="CV95" s="35"/>
      <c r="CW95" s="35"/>
      <c r="CX95" s="35"/>
      <c r="CY95" s="35"/>
      <c r="CZ95" s="35"/>
      <c r="DA95" s="35"/>
      <c r="DB95" s="35"/>
      <c r="DC95" s="35"/>
      <c r="DD95" s="35"/>
      <c r="DE95" s="35"/>
      <c r="DF95" s="35"/>
      <c r="DG95" s="35"/>
      <c r="DH95" s="35"/>
      <c r="DI95" s="35"/>
      <c r="DJ95" s="35"/>
      <c r="DK95" s="35"/>
      <c r="DL95" s="35"/>
      <c r="DM95" s="35"/>
      <c r="DN95" s="35"/>
      <c r="DO95" t="str">
        <f t="shared" si="9"/>
        <v/>
      </c>
    </row>
    <row r="96" spans="5:119" ht="18.95" customHeight="1" x14ac:dyDescent="0.25">
      <c r="E96" s="20"/>
      <c r="F96" s="20"/>
      <c r="G96" s="20"/>
      <c r="H96" s="20"/>
      <c r="K96" s="21"/>
      <c r="L96" t="str">
        <f t="shared" ca="1" si="8"/>
        <v/>
      </c>
      <c r="O96" s="23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35"/>
      <c r="BA96" s="35"/>
      <c r="BB96" s="35"/>
      <c r="BC96" s="35"/>
      <c r="BD96" s="35"/>
      <c r="BE96" s="35"/>
      <c r="BF96" s="35"/>
      <c r="BG96" s="35"/>
      <c r="BH96" s="35"/>
      <c r="BI96" s="35"/>
      <c r="BJ96" s="35"/>
      <c r="BK96" s="35"/>
      <c r="BL96" s="35"/>
      <c r="BM96" s="35"/>
      <c r="BN96" s="35"/>
      <c r="BO96" s="35"/>
      <c r="BP96" s="35"/>
      <c r="BQ96" s="35"/>
      <c r="BR96" s="35"/>
      <c r="BS96" s="35"/>
      <c r="BT96" s="35"/>
      <c r="BU96" s="35"/>
      <c r="BV96" s="35"/>
      <c r="BW96" s="35"/>
      <c r="BX96" s="35"/>
      <c r="BY96" s="35"/>
      <c r="BZ96" s="35"/>
      <c r="CA96" s="35"/>
      <c r="CB96" s="35"/>
      <c r="CC96" s="35"/>
      <c r="CD96" s="35"/>
      <c r="CE96" s="35"/>
      <c r="CF96" s="35"/>
      <c r="CG96" s="35"/>
      <c r="CH96" s="35"/>
      <c r="CI96" s="35"/>
      <c r="CJ96" s="35"/>
      <c r="CK96" s="35"/>
      <c r="CL96" s="35"/>
      <c r="CM96" s="35"/>
      <c r="CN96" s="35"/>
      <c r="CO96" s="35"/>
      <c r="CP96" s="35"/>
      <c r="CQ96" s="35"/>
      <c r="CR96" s="35"/>
      <c r="CS96" s="35"/>
      <c r="CT96" s="35"/>
      <c r="CU96" s="35"/>
      <c r="CV96" s="35"/>
      <c r="CW96" s="35"/>
      <c r="CX96" s="35"/>
      <c r="CY96" s="35"/>
      <c r="CZ96" s="35"/>
      <c r="DA96" s="35"/>
      <c r="DB96" s="35"/>
      <c r="DC96" s="35"/>
      <c r="DD96" s="35"/>
      <c r="DE96" s="35"/>
      <c r="DF96" s="35"/>
      <c r="DG96" s="35"/>
      <c r="DH96" s="35"/>
      <c r="DI96" s="35"/>
      <c r="DJ96" s="35"/>
      <c r="DK96" s="35"/>
      <c r="DL96" s="35"/>
      <c r="DM96" s="35"/>
      <c r="DN96" s="35"/>
      <c r="DO96" t="str">
        <f t="shared" si="9"/>
        <v/>
      </c>
    </row>
  </sheetData>
  <mergeCells count="6">
    <mergeCell ref="B1:F1"/>
    <mergeCell ref="B2:J2"/>
    <mergeCell ref="B4:C4"/>
    <mergeCell ref="H4:K4"/>
    <mergeCell ref="B5:C5"/>
    <mergeCell ref="H5:K5"/>
  </mergeCells>
  <phoneticPr fontId="28" type="noConversion"/>
  <conditionalFormatting sqref="L35:L96 L9:L18 L25">
    <cfRule type="cellIs" dxfId="13" priority="1" stopIfTrue="1" operator="equal">
      <formula>"On Track"</formula>
    </cfRule>
    <cfRule type="cellIs" dxfId="12" priority="2" stopIfTrue="1" operator="equal">
      <formula>"Behind"</formula>
    </cfRule>
    <cfRule type="cellIs" dxfId="11" priority="3" stopIfTrue="1" operator="equal">
      <formula>"Complete"</formula>
    </cfRule>
    <cfRule type="cellIs" dxfId="10" priority="4" stopIfTrue="1" operator="equal">
      <formula>"Not Started"</formula>
    </cfRule>
  </conditionalFormatting>
  <conditionalFormatting sqref="O8:DN8">
    <cfRule type="expression" dxfId="9" priority="5" stopIfTrue="1">
      <formula>AND(O$8&lt;&gt;"",TODAY()&gt;=O$8,TODAY()&lt;O$8+7)</formula>
    </cfRule>
  </conditionalFormatting>
  <conditionalFormatting sqref="K35:K96 K9:K25">
    <cfRule type="dataBar" priority="6">
      <dataBar>
        <cfvo type="num" val="0"/>
        <cfvo type="num" val="1"/>
        <color rgb="FF2563EB"/>
      </dataBar>
      <extLst>
        <ext xmlns:x14="http://schemas.microsoft.com/office/spreadsheetml/2009/9/main" uri="{B025F937-C7B1-47D3-B67F-A62EFF666E3E}">
          <x14:id>{359549A1-982E-4836-8502-ED06E12B1BD1}</x14:id>
        </ext>
      </extLst>
    </cfRule>
  </conditionalFormatting>
  <conditionalFormatting sqref="O9:DN9 P10:DN17 O18:DN18 O35:DN96 P25:DN25">
    <cfRule type="expression" dxfId="8" priority="7" stopIfTrue="1">
      <formula>AND(O$8&lt;&gt;"",O$8+6&gt;=$E9,O$8&lt;=$G9,$J9&lt;&gt;"",$J9&gt;$I9)</formula>
    </cfRule>
    <cfRule type="expression" dxfId="7" priority="8" stopIfTrue="1">
      <formula>AND(O$8&lt;&gt;"",O$8+6&gt;=$E9,O$8&lt;=$G9,OR($J9="",$J9&lt;=$I9))</formula>
    </cfRule>
  </conditionalFormatting>
  <dataValidations count="2">
    <dataValidation type="decimal" allowBlank="1" showInputMessage="1" showErrorMessage="1" sqref="K35:K96 K9:K25" xr:uid="{884D8E26-8656-4F98-9C4A-CB48529E8733}">
      <formula1>0</formula1>
      <formula2>1</formula2>
    </dataValidation>
    <dataValidation type="whole" allowBlank="1" showInputMessage="1" showErrorMessage="1" sqref="I35:J96 I9:J25" xr:uid="{C46F218D-A1C8-4CAA-9D3F-1D0E10C93779}">
      <formula1>1</formula1>
      <formula2>365</formula2>
    </dataValidation>
  </dataValidations>
  <hyperlinks>
    <hyperlink ref="B1" location="'Program Dashboard'!A1" tooltip="Return to Program Dashboard" display="‹  Program Dashboard" xr:uid="{1A730D19-F31B-47ED-863C-DF057F8B5525}"/>
  </hyperlinks>
  <pageMargins left="0.75" right="0.75" top="1" bottom="1" header="0.5" footer="0.5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59549A1-982E-4836-8502-ED06E12B1BD1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K35:K96 K9:K25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E7E7B-B8D9-4560-A49E-39DAC6E86FD6}">
  <sheetPr codeName="Sheet6">
    <tabColor rgb="FF0F1E2E"/>
  </sheetPr>
  <dimension ref="A1:DO96"/>
  <sheetViews>
    <sheetView showGridLines="0" workbookViewId="0">
      <pane xSplit="1" ySplit="8" topLeftCell="B9" activePane="bottomRight" state="frozen"/>
      <selection pane="topRight"/>
      <selection pane="bottomLeft"/>
      <selection pane="bottomRight" activeCell="C9" sqref="C9:C23"/>
    </sheetView>
  </sheetViews>
  <sheetFormatPr defaultRowHeight="15" x14ac:dyDescent="0.25"/>
  <cols>
    <col min="1" max="1" width="2.140625" hidden="1" customWidth="1"/>
    <col min="2" max="2" width="13.42578125" customWidth="1"/>
    <col min="3" max="3" width="29" customWidth="1"/>
    <col min="4" max="4" width="13" customWidth="1"/>
    <col min="5" max="5" width="13.42578125" customWidth="1"/>
    <col min="6" max="6" width="19.28515625" customWidth="1"/>
    <col min="7" max="7" width="13" customWidth="1"/>
    <col min="8" max="8" width="13.85546875" customWidth="1"/>
    <col min="9" max="9" width="13.7109375" customWidth="1"/>
    <col min="10" max="10" width="11" hidden="1" customWidth="1"/>
    <col min="11" max="11" width="12" customWidth="1"/>
    <col min="12" max="12" width="28" customWidth="1"/>
    <col min="13" max="13" width="30.5703125" customWidth="1"/>
    <col min="14" max="14" width="13.85546875" customWidth="1"/>
    <col min="15" max="31" width="5.7109375" bestFit="1" customWidth="1"/>
    <col min="32" max="32" width="8.28515625" customWidth="1"/>
    <col min="33" max="41" width="5.7109375" bestFit="1" customWidth="1"/>
    <col min="42" max="118" width="5.140625" customWidth="1"/>
    <col min="119" max="119" width="0" hidden="1" customWidth="1"/>
  </cols>
  <sheetData>
    <row r="1" spans="1:119" ht="15" customHeight="1" x14ac:dyDescent="0.25">
      <c r="A1" s="1"/>
      <c r="B1" s="46" t="s">
        <v>38</v>
      </c>
      <c r="C1" s="47"/>
      <c r="D1" s="47"/>
      <c r="E1" s="47"/>
      <c r="F1" s="47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</row>
    <row r="2" spans="1:119" ht="30" customHeight="1" x14ac:dyDescent="0.25">
      <c r="A2" s="1"/>
      <c r="B2" s="48" t="s">
        <v>81</v>
      </c>
      <c r="C2" s="47"/>
      <c r="D2" s="47"/>
      <c r="E2" s="47"/>
      <c r="F2" s="47"/>
      <c r="G2" s="47"/>
      <c r="H2" s="47"/>
      <c r="I2" s="47"/>
      <c r="J2" s="47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</row>
    <row r="3" spans="1:119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</row>
    <row r="4" spans="1:119" ht="21.95" customHeight="1" x14ac:dyDescent="0.25">
      <c r="A4" s="1"/>
      <c r="B4" s="49" t="s">
        <v>18</v>
      </c>
      <c r="C4" s="50"/>
      <c r="D4" s="14" t="s">
        <v>19</v>
      </c>
      <c r="E4" s="27" t="s">
        <v>20</v>
      </c>
      <c r="F4" s="39"/>
      <c r="G4" s="17" t="s">
        <v>21</v>
      </c>
      <c r="H4" s="51" t="s">
        <v>22</v>
      </c>
      <c r="I4" s="52"/>
      <c r="J4" s="52"/>
      <c r="K4" s="52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</row>
    <row r="5" spans="1:119" ht="26.1" customHeight="1" x14ac:dyDescent="0.25">
      <c r="A5" s="1"/>
      <c r="B5" s="53">
        <f>F9</f>
        <v>46140</v>
      </c>
      <c r="C5" s="50"/>
      <c r="D5" s="15">
        <f>IF(COUNT(G9:G96)=0,"",MAX(G9:G96))</f>
        <v>46141</v>
      </c>
      <c r="E5" s="28">
        <f>IFERROR(SUMPRODUCT(I9:I96,K9:K96)/SUM(I9:I96),0)</f>
        <v>0.5</v>
      </c>
      <c r="F5" s="40"/>
      <c r="G5" s="16" t="str">
        <f ca="1">IF(E5&gt;=1,"Complete",IF(COUNTIF(L9:L96,"Behind")&gt;0,"Behind",IF(AND(COUNTIF(C9:C96,"&lt;&gt;")&gt;0,COUNTIF(L9:L96,"Not Started")=COUNTIF(C9:C96,"&lt;&gt;")),"Not Started","On Track")))</f>
        <v>Behind</v>
      </c>
      <c r="H5" s="54">
        <f ca="1">D5-TODAY()</f>
        <v>-48</v>
      </c>
      <c r="I5" s="55"/>
      <c r="J5" s="55"/>
      <c r="K5" s="55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</row>
    <row r="6" spans="1:119" ht="18" customHeight="1" x14ac:dyDescent="0.3">
      <c r="A6" s="1"/>
      <c r="B6" s="44" t="s">
        <v>23</v>
      </c>
      <c r="C6" s="43" t="str">
        <f ca="1">IFERROR(INDEX(C9:C96,MATCH(0,DO9:DO96,0)),"Program Complete")</f>
        <v>CNC F/A Test</v>
      </c>
      <c r="D6" s="1"/>
      <c r="E6" s="1"/>
      <c r="F6" s="1"/>
      <c r="G6" s="1"/>
      <c r="H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</row>
    <row r="7" spans="1:119" ht="1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</row>
    <row r="8" spans="1:119" ht="30" customHeight="1" x14ac:dyDescent="0.25">
      <c r="A8" s="1"/>
      <c r="B8" s="4" t="s">
        <v>24</v>
      </c>
      <c r="C8" s="4" t="s">
        <v>25</v>
      </c>
      <c r="D8" s="4" t="s">
        <v>26</v>
      </c>
      <c r="E8" s="4" t="s">
        <v>27</v>
      </c>
      <c r="F8" s="4" t="s">
        <v>94</v>
      </c>
      <c r="G8" s="4" t="s">
        <v>29</v>
      </c>
      <c r="H8" s="4" t="s">
        <v>95</v>
      </c>
      <c r="I8" s="4" t="s">
        <v>35</v>
      </c>
      <c r="J8" s="4" t="s">
        <v>36</v>
      </c>
      <c r="K8" s="4" t="s">
        <v>31</v>
      </c>
      <c r="L8" s="4" t="s">
        <v>17</v>
      </c>
      <c r="M8" s="4" t="s">
        <v>32</v>
      </c>
      <c r="N8" s="41"/>
      <c r="O8" s="22">
        <f>$B$5</f>
        <v>46140</v>
      </c>
      <c r="P8" s="22" t="str">
        <f t="shared" ref="P8:CA8" si="0">IF(O8="","",IF(O8+7&gt;$D$5,"",O8+7))</f>
        <v/>
      </c>
      <c r="Q8" s="22" t="str">
        <f t="shared" si="0"/>
        <v/>
      </c>
      <c r="R8" s="22" t="str">
        <f t="shared" si="0"/>
        <v/>
      </c>
      <c r="S8" s="22" t="str">
        <f t="shared" si="0"/>
        <v/>
      </c>
      <c r="T8" s="22" t="str">
        <f t="shared" si="0"/>
        <v/>
      </c>
      <c r="U8" s="22" t="str">
        <f t="shared" si="0"/>
        <v/>
      </c>
      <c r="V8" s="22" t="str">
        <f t="shared" si="0"/>
        <v/>
      </c>
      <c r="W8" s="22" t="str">
        <f t="shared" si="0"/>
        <v/>
      </c>
      <c r="X8" s="22" t="str">
        <f t="shared" si="0"/>
        <v/>
      </c>
      <c r="Y8" s="22" t="str">
        <f t="shared" si="0"/>
        <v/>
      </c>
      <c r="Z8" s="22" t="str">
        <f t="shared" si="0"/>
        <v/>
      </c>
      <c r="AA8" s="22" t="str">
        <f t="shared" si="0"/>
        <v/>
      </c>
      <c r="AB8" s="22" t="str">
        <f t="shared" si="0"/>
        <v/>
      </c>
      <c r="AC8" s="22" t="str">
        <f t="shared" si="0"/>
        <v/>
      </c>
      <c r="AD8" s="22" t="str">
        <f t="shared" si="0"/>
        <v/>
      </c>
      <c r="AE8" s="22" t="str">
        <f t="shared" si="0"/>
        <v/>
      </c>
      <c r="AF8" s="22" t="str">
        <f t="shared" si="0"/>
        <v/>
      </c>
      <c r="AG8" s="22" t="str">
        <f t="shared" si="0"/>
        <v/>
      </c>
      <c r="AH8" s="22" t="str">
        <f t="shared" si="0"/>
        <v/>
      </c>
      <c r="AI8" s="22" t="str">
        <f t="shared" si="0"/>
        <v/>
      </c>
      <c r="AJ8" s="22" t="str">
        <f t="shared" si="0"/>
        <v/>
      </c>
      <c r="AK8" s="22" t="str">
        <f t="shared" si="0"/>
        <v/>
      </c>
      <c r="AL8" s="22" t="str">
        <f t="shared" si="0"/>
        <v/>
      </c>
      <c r="AM8" s="22" t="str">
        <f t="shared" si="0"/>
        <v/>
      </c>
      <c r="AN8" s="22" t="str">
        <f t="shared" si="0"/>
        <v/>
      </c>
      <c r="AO8" s="22" t="str">
        <f t="shared" si="0"/>
        <v/>
      </c>
      <c r="AP8" s="22" t="str">
        <f t="shared" si="0"/>
        <v/>
      </c>
      <c r="AQ8" s="22" t="str">
        <f t="shared" si="0"/>
        <v/>
      </c>
      <c r="AR8" s="22" t="str">
        <f t="shared" si="0"/>
        <v/>
      </c>
      <c r="AS8" s="22" t="str">
        <f t="shared" si="0"/>
        <v/>
      </c>
      <c r="AT8" s="22" t="str">
        <f t="shared" si="0"/>
        <v/>
      </c>
      <c r="AU8" s="22" t="str">
        <f t="shared" si="0"/>
        <v/>
      </c>
      <c r="AV8" s="22" t="str">
        <f t="shared" si="0"/>
        <v/>
      </c>
      <c r="AW8" s="22" t="str">
        <f t="shared" si="0"/>
        <v/>
      </c>
      <c r="AX8" s="22" t="str">
        <f t="shared" si="0"/>
        <v/>
      </c>
      <c r="AY8" s="22" t="str">
        <f t="shared" si="0"/>
        <v/>
      </c>
      <c r="AZ8" s="22" t="str">
        <f t="shared" si="0"/>
        <v/>
      </c>
      <c r="BA8" s="22" t="str">
        <f t="shared" si="0"/>
        <v/>
      </c>
      <c r="BB8" s="22" t="str">
        <f t="shared" si="0"/>
        <v/>
      </c>
      <c r="BC8" s="22" t="str">
        <f t="shared" si="0"/>
        <v/>
      </c>
      <c r="BD8" s="22" t="str">
        <f t="shared" si="0"/>
        <v/>
      </c>
      <c r="BE8" s="22" t="str">
        <f t="shared" si="0"/>
        <v/>
      </c>
      <c r="BF8" s="22" t="str">
        <f t="shared" si="0"/>
        <v/>
      </c>
      <c r="BG8" s="22" t="str">
        <f t="shared" si="0"/>
        <v/>
      </c>
      <c r="BH8" s="22" t="str">
        <f t="shared" si="0"/>
        <v/>
      </c>
      <c r="BI8" s="22" t="str">
        <f t="shared" si="0"/>
        <v/>
      </c>
      <c r="BJ8" s="22" t="str">
        <f t="shared" si="0"/>
        <v/>
      </c>
      <c r="BK8" s="22" t="str">
        <f t="shared" si="0"/>
        <v/>
      </c>
      <c r="BL8" s="22" t="str">
        <f t="shared" si="0"/>
        <v/>
      </c>
      <c r="BM8" s="22" t="str">
        <f t="shared" si="0"/>
        <v/>
      </c>
      <c r="BN8" s="22" t="str">
        <f t="shared" si="0"/>
        <v/>
      </c>
      <c r="BO8" s="22" t="str">
        <f t="shared" si="0"/>
        <v/>
      </c>
      <c r="BP8" s="22" t="str">
        <f t="shared" si="0"/>
        <v/>
      </c>
      <c r="BQ8" s="22" t="str">
        <f t="shared" si="0"/>
        <v/>
      </c>
      <c r="BR8" s="22" t="str">
        <f t="shared" si="0"/>
        <v/>
      </c>
      <c r="BS8" s="22" t="str">
        <f t="shared" si="0"/>
        <v/>
      </c>
      <c r="BT8" s="22" t="str">
        <f t="shared" si="0"/>
        <v/>
      </c>
      <c r="BU8" s="22" t="str">
        <f t="shared" si="0"/>
        <v/>
      </c>
      <c r="BV8" s="22" t="str">
        <f t="shared" si="0"/>
        <v/>
      </c>
      <c r="BW8" s="22" t="str">
        <f t="shared" si="0"/>
        <v/>
      </c>
      <c r="BX8" s="22" t="str">
        <f t="shared" si="0"/>
        <v/>
      </c>
      <c r="BY8" s="22" t="str">
        <f t="shared" si="0"/>
        <v/>
      </c>
      <c r="BZ8" s="22" t="str">
        <f t="shared" si="0"/>
        <v/>
      </c>
      <c r="CA8" s="22" t="str">
        <f t="shared" si="0"/>
        <v/>
      </c>
      <c r="CB8" s="22" t="str">
        <f t="shared" ref="CB8:DN8" si="1">IF(CA8="","",IF(CA8+7&gt;$D$5,"",CA8+7))</f>
        <v/>
      </c>
      <c r="CC8" s="22" t="str">
        <f t="shared" si="1"/>
        <v/>
      </c>
      <c r="CD8" s="22" t="str">
        <f t="shared" si="1"/>
        <v/>
      </c>
      <c r="CE8" s="22" t="str">
        <f t="shared" si="1"/>
        <v/>
      </c>
      <c r="CF8" s="22" t="str">
        <f t="shared" si="1"/>
        <v/>
      </c>
      <c r="CG8" s="22" t="str">
        <f t="shared" si="1"/>
        <v/>
      </c>
      <c r="CH8" s="22" t="str">
        <f t="shared" si="1"/>
        <v/>
      </c>
      <c r="CI8" s="22" t="str">
        <f t="shared" si="1"/>
        <v/>
      </c>
      <c r="CJ8" s="22" t="str">
        <f t="shared" si="1"/>
        <v/>
      </c>
      <c r="CK8" s="22" t="str">
        <f t="shared" si="1"/>
        <v/>
      </c>
      <c r="CL8" s="22" t="str">
        <f t="shared" si="1"/>
        <v/>
      </c>
      <c r="CM8" s="22" t="str">
        <f t="shared" si="1"/>
        <v/>
      </c>
      <c r="CN8" s="22" t="str">
        <f t="shared" si="1"/>
        <v/>
      </c>
      <c r="CO8" s="22" t="str">
        <f t="shared" si="1"/>
        <v/>
      </c>
      <c r="CP8" s="22" t="str">
        <f t="shared" si="1"/>
        <v/>
      </c>
      <c r="CQ8" s="22" t="str">
        <f t="shared" si="1"/>
        <v/>
      </c>
      <c r="CR8" s="22" t="str">
        <f t="shared" si="1"/>
        <v/>
      </c>
      <c r="CS8" s="22" t="str">
        <f t="shared" si="1"/>
        <v/>
      </c>
      <c r="CT8" s="22" t="str">
        <f t="shared" si="1"/>
        <v/>
      </c>
      <c r="CU8" s="22" t="str">
        <f t="shared" si="1"/>
        <v/>
      </c>
      <c r="CV8" s="22" t="str">
        <f t="shared" si="1"/>
        <v/>
      </c>
      <c r="CW8" s="22" t="str">
        <f t="shared" si="1"/>
        <v/>
      </c>
      <c r="CX8" s="22" t="str">
        <f t="shared" si="1"/>
        <v/>
      </c>
      <c r="CY8" s="22" t="str">
        <f t="shared" si="1"/>
        <v/>
      </c>
      <c r="CZ8" s="22" t="str">
        <f t="shared" si="1"/>
        <v/>
      </c>
      <c r="DA8" s="22" t="str">
        <f t="shared" si="1"/>
        <v/>
      </c>
      <c r="DB8" s="22" t="str">
        <f t="shared" si="1"/>
        <v/>
      </c>
      <c r="DC8" s="22" t="str">
        <f t="shared" si="1"/>
        <v/>
      </c>
      <c r="DD8" s="22" t="str">
        <f t="shared" si="1"/>
        <v/>
      </c>
      <c r="DE8" s="22" t="str">
        <f t="shared" si="1"/>
        <v/>
      </c>
      <c r="DF8" s="22" t="str">
        <f t="shared" si="1"/>
        <v/>
      </c>
      <c r="DG8" s="22" t="str">
        <f t="shared" si="1"/>
        <v/>
      </c>
      <c r="DH8" s="22" t="str">
        <f t="shared" si="1"/>
        <v/>
      </c>
      <c r="DI8" s="22" t="str">
        <f t="shared" si="1"/>
        <v/>
      </c>
      <c r="DJ8" s="22" t="str">
        <f t="shared" si="1"/>
        <v/>
      </c>
      <c r="DK8" s="22" t="str">
        <f t="shared" si="1"/>
        <v/>
      </c>
      <c r="DL8" s="22" t="str">
        <f t="shared" si="1"/>
        <v/>
      </c>
      <c r="DM8" s="22" t="str">
        <f t="shared" si="1"/>
        <v/>
      </c>
      <c r="DN8" s="22" t="str">
        <f t="shared" si="1"/>
        <v/>
      </c>
    </row>
    <row r="9" spans="1:119" ht="19.149999999999999" customHeight="1" x14ac:dyDescent="0.25">
      <c r="A9" s="1"/>
      <c r="B9" s="11">
        <f>IF(C9="","",COUNTIF($C$9:C9,"&lt;&gt;"))</f>
        <v>1</v>
      </c>
      <c r="C9" s="11" t="s">
        <v>82</v>
      </c>
      <c r="D9" s="37"/>
      <c r="E9" s="18">
        <v>46140</v>
      </c>
      <c r="F9" s="18">
        <v>46140</v>
      </c>
      <c r="G9" s="18">
        <f>IF(OR(C9="",I9=""),"",WORKDAY.INTL(E9,IF(J9="",I9,J9)-1,"0000111",'Holiday Schedule'!$C$9:$C$18))</f>
      </c>
      <c r="H9" s="18"/>
      <c r="I9" s="11">
        <v>1</v>
      </c>
      <c r="J9" s="11">
        <v>1</v>
      </c>
      <c r="K9" s="7">
        <v>1</v>
      </c>
      <c r="L9" s="11" t="str">
        <f t="shared" ref="L9:L25" ca="1" si="3">IF(C9="","",IF(K9&gt;=1,"Complete",IF(TODAY()&lt;E9,"Not Started",IF(K9&gt;=NETWORKDAYS.INTL(E9,MIN(TODAY(),G9),"0001111")/NETWORKDAYS.INTL(E9,G9,"0001111"),"On Track","Behind"))))</f>
        <v>Complete</v>
      </c>
      <c r="M9" s="11"/>
      <c r="N9" s="36"/>
      <c r="O9" s="29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  <c r="BG9" s="32"/>
      <c r="BH9" s="32"/>
      <c r="BI9" s="32"/>
      <c r="BJ9" s="32"/>
      <c r="BK9" s="32"/>
      <c r="BL9" s="32"/>
      <c r="BM9" s="32"/>
      <c r="BN9" s="32"/>
      <c r="BO9" s="32"/>
      <c r="BP9" s="32"/>
      <c r="BQ9" s="32"/>
      <c r="BR9" s="32"/>
      <c r="BS9" s="32"/>
      <c r="BT9" s="32"/>
      <c r="BU9" s="32"/>
      <c r="BV9" s="32"/>
      <c r="BW9" s="32"/>
      <c r="BX9" s="32"/>
      <c r="BY9" s="32"/>
      <c r="BZ9" s="32"/>
      <c r="CA9" s="32"/>
      <c r="CB9" s="32"/>
      <c r="CC9" s="32"/>
      <c r="CD9" s="32"/>
      <c r="CE9" s="32"/>
      <c r="CF9" s="32"/>
      <c r="CG9" s="32"/>
      <c r="CH9" s="32"/>
      <c r="CI9" s="32"/>
      <c r="CJ9" s="32"/>
      <c r="CK9" s="32"/>
      <c r="CL9" s="32"/>
      <c r="CM9" s="32"/>
      <c r="CN9" s="32"/>
      <c r="CO9" s="32"/>
      <c r="CP9" s="32"/>
      <c r="CQ9" s="32"/>
      <c r="CR9" s="32"/>
      <c r="CS9" s="32"/>
      <c r="CT9" s="32"/>
      <c r="CU9" s="32"/>
      <c r="CV9" s="32"/>
      <c r="CW9" s="32"/>
      <c r="CX9" s="32"/>
      <c r="CY9" s="32"/>
      <c r="CZ9" s="32"/>
      <c r="DA9" s="32"/>
      <c r="DB9" s="32"/>
      <c r="DC9" s="32"/>
      <c r="DD9" s="32"/>
      <c r="DE9" s="32"/>
      <c r="DF9" s="32"/>
      <c r="DG9" s="32"/>
      <c r="DH9" s="32"/>
      <c r="DI9" s="32"/>
      <c r="DJ9" s="32"/>
      <c r="DK9" s="32"/>
      <c r="DL9" s="32"/>
      <c r="DM9" s="32"/>
      <c r="DN9" s="32"/>
      <c r="DO9">
        <f t="shared" ref="DO9:DO78" ca="1" si="4">IF(C9="","",IF(L9="Complete",1,0))</f>
        <v>1</v>
      </c>
    </row>
    <row r="10" spans="1:119" ht="18.95" customHeight="1" x14ac:dyDescent="0.25">
      <c r="A10" s="1"/>
      <c r="B10" s="13">
        <f>IF(C10="","",COUNTIF($C$9:C10,"&lt;&gt;"))</f>
        <v>2</v>
      </c>
      <c r="C10" s="13" t="s">
        <v>89</v>
      </c>
      <c r="D10" s="38"/>
      <c r="E10" s="19">
        <f>IF(C10="","",WORKDAY.INTL(G9,1,"0000111",'Holiday Schedule'!$C$9:$C$18))</f>
      </c>
      <c r="F10" s="19"/>
      <c r="G10" s="19">
        <f>IF(OR(C10="",I10=""),"",WORKDAY.INTL(E10,IF(J10="",I10,J10)-1,"0000111",'Holiday Schedule'!$C$9:$C$18))</f>
      </c>
      <c r="H10" s="19"/>
      <c r="I10" s="11">
        <v>1</v>
      </c>
      <c r="J10" s="13"/>
      <c r="K10" s="12"/>
      <c r="L10" s="13" t="str">
        <f t="shared" ca="1" si="3"/>
        <v>Behind</v>
      </c>
      <c r="M10" s="13"/>
      <c r="N10" s="42"/>
      <c r="O10" s="42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  <c r="DL10" s="33"/>
      <c r="DM10" s="33"/>
      <c r="DN10" s="33"/>
      <c r="DO10">
        <f t="shared" ca="1" si="4"/>
        <v>0</v>
      </c>
    </row>
    <row r="11" spans="1:119" ht="18.95" customHeight="1" x14ac:dyDescent="0.25">
      <c r="A11" s="1"/>
      <c r="B11" s="11">
        <f>IF(C11="","",COUNTIF($C$9:C11,"&lt;&gt;"))</f>
        <v>3</v>
      </c>
      <c r="C11" s="11" t="s">
        <v>83</v>
      </c>
      <c r="D11" s="37"/>
      <c r="E11" s="19">
        <f>IF(C11="","",WORKDAY.INTL(G10,1,"0000111",'Holiday Schedule'!$C$9:$C$18))</f>
      </c>
      <c r="F11" s="18"/>
      <c r="G11" s="18">
        <f>IF(OR(C11="",I11=""),"",WORKDAY.INTL(E11,IF(J11="",I11,J11)-1,"0000111",'Holiday Schedule'!$C$9:$C$18))</f>
      </c>
      <c r="H11" s="18"/>
      <c r="I11" s="11">
        <f t="shared" ref="I11:I24" si="6">H11-F11</f>
        <v>0</v>
      </c>
      <c r="J11" s="11"/>
      <c r="K11" s="7"/>
      <c r="L11" s="11" t="str">
        <f t="shared" ca="1" si="3"/>
        <v>Behind</v>
      </c>
      <c r="M11" s="11"/>
      <c r="N11" s="36"/>
      <c r="O11" s="36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>
        <f t="shared" ca="1" si="4"/>
        <v>0</v>
      </c>
    </row>
    <row r="12" spans="1:119" ht="18.95" customHeight="1" x14ac:dyDescent="0.25">
      <c r="A12" s="1"/>
      <c r="B12" s="13">
        <f>IF(C12="","",COUNTIF($C$9:C12,"&lt;&gt;"))</f>
        <v>4</v>
      </c>
      <c r="C12" s="13" t="s">
        <v>88</v>
      </c>
      <c r="D12" s="38"/>
      <c r="E12" s="19">
        <f>IF(C12="","",WORKDAY.INTL(G11,1,"0000111",'Holiday Schedule'!$C$9:$C$18))</f>
      </c>
      <c r="F12" s="19"/>
      <c r="G12" s="19">
        <f>IF(OR(C12="",I12=""),"",WORKDAY.INTL(E12,IF(J12="",I12,J12)-1,"0000111",'Holiday Schedule'!$C$9:$C$18))</f>
      </c>
      <c r="H12" s="19"/>
      <c r="I12" s="11">
        <f t="shared" si="6"/>
        <v>0</v>
      </c>
      <c r="J12" s="13"/>
      <c r="K12" s="12"/>
      <c r="L12" s="13" t="str">
        <f t="shared" ca="1" si="3"/>
        <v>Behind</v>
      </c>
      <c r="M12" s="13"/>
      <c r="N12" s="42"/>
      <c r="O12" s="42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3"/>
      <c r="CE12" s="33"/>
      <c r="CF12" s="33"/>
      <c r="CG12" s="33"/>
      <c r="CH12" s="33"/>
      <c r="CI12" s="33"/>
      <c r="CJ12" s="33"/>
      <c r="CK12" s="33"/>
      <c r="CL12" s="33"/>
      <c r="CM12" s="33"/>
      <c r="CN12" s="33"/>
      <c r="CO12" s="33"/>
      <c r="CP12" s="33"/>
      <c r="CQ12" s="33"/>
      <c r="CR12" s="33"/>
      <c r="CS12" s="33"/>
      <c r="CT12" s="33"/>
      <c r="CU12" s="33"/>
      <c r="CV12" s="33"/>
      <c r="CW12" s="33"/>
      <c r="CX12" s="33"/>
      <c r="CY12" s="33"/>
      <c r="CZ12" s="33"/>
      <c r="DA12" s="33"/>
      <c r="DB12" s="33"/>
      <c r="DC12" s="33"/>
      <c r="DD12" s="33"/>
      <c r="DE12" s="33"/>
      <c r="DF12" s="33"/>
      <c r="DG12" s="33"/>
      <c r="DH12" s="33"/>
      <c r="DI12" s="33"/>
      <c r="DJ12" s="33"/>
      <c r="DK12" s="33"/>
      <c r="DL12" s="33"/>
      <c r="DM12" s="33"/>
      <c r="DN12" s="33"/>
      <c r="DO12">
        <f t="shared" ca="1" si="4"/>
        <v>0</v>
      </c>
    </row>
    <row r="13" spans="1:119" ht="18.95" customHeight="1" x14ac:dyDescent="0.25">
      <c r="A13" s="1"/>
      <c r="B13" s="11">
        <f>IF(C13="","",COUNTIF($C$9:C13,"&lt;&gt;"))</f>
        <v>5</v>
      </c>
      <c r="C13" s="11" t="s">
        <v>83</v>
      </c>
      <c r="D13" s="37"/>
      <c r="E13" s="18">
        <f>IF(C13="","",WORKDAY.INTL(G12,1,"0000111",'Holiday Schedule'!$C$9:$C$18))</f>
      </c>
      <c r="F13" s="18"/>
      <c r="G13" s="18">
        <f>IF(OR(C13="",I13=""),"",WORKDAY.INTL(E13,IF(J13="",I13,J13)-1,"0000111",'Holiday Schedule'!$C$9:$C$18))</f>
      </c>
      <c r="H13" s="18"/>
      <c r="I13" s="11">
        <f t="shared" si="6"/>
        <v>0</v>
      </c>
      <c r="J13" s="11"/>
      <c r="K13" s="7"/>
      <c r="L13" s="11" t="str">
        <f t="shared" ca="1" si="3"/>
        <v>Behind</v>
      </c>
      <c r="M13" s="11"/>
      <c r="N13" s="36"/>
      <c r="O13" s="36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/>
      <c r="DK13" s="34"/>
      <c r="DL13" s="34"/>
      <c r="DM13" s="34"/>
      <c r="DN13" s="34"/>
      <c r="DO13">
        <f t="shared" ca="1" si="4"/>
        <v>0</v>
      </c>
    </row>
    <row r="14" spans="1:119" ht="18.95" customHeight="1" x14ac:dyDescent="0.25">
      <c r="A14" s="1"/>
      <c r="B14" s="13">
        <f>IF(C14="","",COUNTIF($C$9:C14,"&lt;&gt;"))</f>
        <v>6</v>
      </c>
      <c r="C14" s="13" t="s">
        <v>84</v>
      </c>
      <c r="D14" s="38"/>
      <c r="E14" s="19">
        <f>IF(C14="","",WORKDAY.INTL(G13,1,"0000111",'Holiday Schedule'!$C$9:$C$18))</f>
      </c>
      <c r="F14" s="19"/>
      <c r="G14" s="19">
        <f>IF(OR(C14="",I14=""),"",WORKDAY.INTL(E14,IF(J14="",I14,J14)-1,"0000111",'Holiday Schedule'!$C$9:$C$18))</f>
      </c>
      <c r="H14" s="19"/>
      <c r="I14" s="11">
        <f t="shared" si="6"/>
        <v>0</v>
      </c>
      <c r="J14" s="13"/>
      <c r="K14" s="12"/>
      <c r="L14" s="13" t="str">
        <f t="shared" ca="1" si="3"/>
        <v>Behind</v>
      </c>
      <c r="M14" s="13"/>
      <c r="N14" s="42"/>
      <c r="O14" s="42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s="33"/>
      <c r="CE14" s="33"/>
      <c r="CF14" s="33"/>
      <c r="CG14" s="33"/>
      <c r="CH14" s="33"/>
      <c r="CI14" s="33"/>
      <c r="CJ14" s="33"/>
      <c r="CK14" s="33"/>
      <c r="CL14" s="33"/>
      <c r="CM14" s="33"/>
      <c r="CN14" s="33"/>
      <c r="CO14" s="33"/>
      <c r="CP14" s="33"/>
      <c r="CQ14" s="33"/>
      <c r="CR14" s="33"/>
      <c r="CS14" s="33"/>
      <c r="CT14" s="33"/>
      <c r="CU14" s="33"/>
      <c r="CV14" s="33"/>
      <c r="CW14" s="33"/>
      <c r="CX14" s="33"/>
      <c r="CY14" s="33"/>
      <c r="CZ14" s="33"/>
      <c r="DA14" s="33"/>
      <c r="DB14" s="33"/>
      <c r="DC14" s="33"/>
      <c r="DD14" s="33"/>
      <c r="DE14" s="33"/>
      <c r="DF14" s="33"/>
      <c r="DG14" s="33"/>
      <c r="DH14" s="33"/>
      <c r="DI14" s="33"/>
      <c r="DJ14" s="33"/>
      <c r="DK14" s="33"/>
      <c r="DL14" s="33"/>
      <c r="DM14" s="33"/>
      <c r="DN14" s="33"/>
      <c r="DO14">
        <f t="shared" ca="1" si="4"/>
        <v>0</v>
      </c>
    </row>
    <row r="15" spans="1:119" ht="18.95" customHeight="1" x14ac:dyDescent="0.25">
      <c r="A15" s="1"/>
      <c r="B15" s="11">
        <f>IF(C15="","",COUNTIF($C$9:C15,"&lt;&gt;"))</f>
        <v>7</v>
      </c>
      <c r="C15" s="11" t="s">
        <v>85</v>
      </c>
      <c r="D15" s="37"/>
      <c r="E15" s="18">
        <f>IF(C15="","",WORKDAY.INTL(G14,1,"0000111",'Holiday Schedule'!$C$9:$C$18))</f>
      </c>
      <c r="F15" s="18"/>
      <c r="G15" s="18">
        <f>IF(OR(C15="",I15=""),"",WORKDAY.INTL(E15,IF(J15="",I15,J15)-1,"0000111",'Holiday Schedule'!$C$9:$C$18))</f>
      </c>
      <c r="H15" s="18"/>
      <c r="I15" s="11">
        <f t="shared" si="6"/>
        <v>0</v>
      </c>
      <c r="J15" s="11"/>
      <c r="K15" s="7"/>
      <c r="L15" s="11" t="str">
        <f t="shared" ca="1" si="3"/>
        <v>Behind</v>
      </c>
      <c r="M15" s="11"/>
      <c r="N15" s="36"/>
      <c r="O15" s="36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>
        <f t="shared" ca="1" si="4"/>
        <v>0</v>
      </c>
    </row>
    <row r="16" spans="1:119" ht="27.6" customHeight="1" x14ac:dyDescent="0.25">
      <c r="A16" s="1"/>
      <c r="B16" s="13">
        <f>IF(C16="","",COUNTIF($C$9:C16,"&lt;&gt;"))</f>
        <v>8</v>
      </c>
      <c r="C16" s="13" t="s">
        <v>90</v>
      </c>
      <c r="D16" s="38"/>
      <c r="E16" s="19">
        <f>IF(C16="","",WORKDAY.INTL(G15,1,"0000111",'Holiday Schedule'!$C$9:$C$18))</f>
      </c>
      <c r="F16" s="19"/>
      <c r="G16" s="19">
        <f>IF(OR(C16="",I16=""),"",WORKDAY.INTL(E16,IF(J16="",I16,J16)-1,"0000111",'Holiday Schedule'!$C$9:$C$18))</f>
      </c>
      <c r="H16" s="19"/>
      <c r="I16" s="11">
        <f t="shared" si="6"/>
        <v>0</v>
      </c>
      <c r="J16" s="13"/>
      <c r="K16" s="12"/>
      <c r="L16" s="13" t="str">
        <f t="shared" ca="1" si="3"/>
        <v>Behind</v>
      </c>
      <c r="M16" s="13"/>
      <c r="N16" s="42"/>
      <c r="O16" s="42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>
        <f t="shared" ca="1" si="4"/>
        <v>0</v>
      </c>
    </row>
    <row r="17" spans="1:119" ht="33.6" customHeight="1" x14ac:dyDescent="0.25">
      <c r="A17" s="1"/>
      <c r="B17" s="11">
        <f>IF(C17="","",COUNTIF($C$9:C17,"&lt;&gt;"))</f>
        <v>9</v>
      </c>
      <c r="C17" s="11" t="s">
        <v>91</v>
      </c>
      <c r="D17" s="37"/>
      <c r="E17" s="18">
        <f>IF(C17="","",WORKDAY.INTL(G16,1,"0000111",'Holiday Schedule'!$C$9:$C$18))</f>
      </c>
      <c r="F17" s="18"/>
      <c r="G17" s="18">
        <f>IF(OR(C17="",I17=""),"",WORKDAY.INTL(E17,IF(J17="",I17,J17)-1,"0000111",'Holiday Schedule'!$C$9:$C$18))</f>
      </c>
      <c r="H17" s="18"/>
      <c r="I17" s="11">
        <f t="shared" si="6"/>
        <v>0</v>
      </c>
      <c r="J17" s="11"/>
      <c r="K17" s="7"/>
      <c r="L17" s="11" t="str">
        <f t="shared" ca="1" si="3"/>
        <v>Behind</v>
      </c>
      <c r="M17" s="11"/>
      <c r="N17" s="36"/>
      <c r="O17" s="36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>
        <f t="shared" ca="1" si="4"/>
        <v>0</v>
      </c>
    </row>
    <row r="18" spans="1:119" ht="18.95" customHeight="1" x14ac:dyDescent="0.25">
      <c r="A18" s="1"/>
      <c r="B18" s="13">
        <f>IF(C18="","",COUNTIF($C$9:C18,"&lt;&gt;"))</f>
        <v>10</v>
      </c>
      <c r="C18" s="13" t="s">
        <v>92</v>
      </c>
      <c r="D18" s="38"/>
      <c r="E18" s="19">
        <f>IF(C18="","",WORKDAY.INTL(G17,1,"0000111",'Holiday Schedule'!$C$9:$C$18))</f>
      </c>
      <c r="F18" s="19"/>
      <c r="G18" s="19">
        <f>IF(OR(C18="",I18=""),"",WORKDAY.INTL(E18,IF(J18="",I18,J18)-1,"0000111",'Holiday Schedule'!$C$9:$C$18))</f>
      </c>
      <c r="H18" s="19"/>
      <c r="I18" s="11">
        <f t="shared" si="6"/>
        <v>0</v>
      </c>
      <c r="J18" s="13"/>
      <c r="K18" s="12"/>
      <c r="L18" s="13" t="str">
        <f t="shared" ca="1" si="3"/>
        <v>Behind</v>
      </c>
      <c r="M18" s="13"/>
      <c r="N18" s="42"/>
      <c r="O18" s="30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>
        <f t="shared" ca="1" si="4"/>
        <v>0</v>
      </c>
    </row>
    <row r="19" spans="1:119" s="11" customFormat="1" ht="18.95" customHeight="1" x14ac:dyDescent="0.25">
      <c r="B19" s="11">
        <f>IF(C19="","ADD",COUNTIF($C$9:C19,"&lt;&gt;"))</f>
        <v>11</v>
      </c>
      <c r="C19" s="11" t="s">
        <v>83</v>
      </c>
      <c r="E19" s="18">
        <f>IF(C19="","",WORKDAY.INTL(G18,1,"0000111",'Holiday Schedule'!$C$9:$C$18))</f>
      </c>
      <c r="F19" s="18"/>
      <c r="G19" s="18">
        <f>IF(OR(C19="",I19=""),"",WORKDAY.INTL(E19,IF(J19="",I19,J19)-1,"0000111",'Holiday Schedule'!$C$9:$C$18))</f>
      </c>
      <c r="H19" s="18"/>
      <c r="I19" s="11">
        <f t="shared" si="6"/>
        <v>0</v>
      </c>
      <c r="L19" s="11" t="str">
        <f t="shared" ca="1" si="3"/>
        <v>Behind</v>
      </c>
      <c r="DO19" s="11">
        <f t="shared" ca="1" si="4"/>
        <v>0</v>
      </c>
    </row>
    <row r="20" spans="1:119" s="13" customFormat="1" ht="18.95" customHeight="1" x14ac:dyDescent="0.25">
      <c r="B20" s="13">
        <f>IF(C20="","ADD",COUNTIF($C$9:C20,"&lt;&gt;"))</f>
        <v>12</v>
      </c>
      <c r="C20" s="13" t="s">
        <v>93</v>
      </c>
      <c r="E20" s="19">
        <f>IF(C20="","",WORKDAY.INTL(G19,1,"0000111",'Holiday Schedule'!$C$9:$C$18))</f>
      </c>
      <c r="F20" s="19"/>
      <c r="G20" s="19">
        <f>IF(OR(C20="",I20=""),"",WORKDAY.INTL(E20,IF(J20="",I20,J20)-1,"0000111",'Holiday Schedule'!$C$9:$C$18))</f>
      </c>
      <c r="H20" s="19"/>
      <c r="I20" s="11">
        <f t="shared" si="6"/>
        <v>0</v>
      </c>
      <c r="L20" s="13" t="str">
        <f t="shared" ca="1" si="3"/>
        <v>Behind</v>
      </c>
      <c r="DO20" s="13">
        <f t="shared" ca="1" si="4"/>
        <v>0</v>
      </c>
    </row>
    <row r="21" spans="1:119" s="11" customFormat="1" ht="18.95" customHeight="1" x14ac:dyDescent="0.25">
      <c r="B21" s="11">
        <f>IF(C21="","ADD",COUNTIF($C$9:C21,"&lt;&gt;"))</f>
        <v>13</v>
      </c>
      <c r="C21" s="11" t="s">
        <v>85</v>
      </c>
      <c r="E21" s="18">
        <f>IF(C21="","",WORKDAY.INTL(G20,1,"0000111",'Holiday Schedule'!$C$9:$C$18))</f>
      </c>
      <c r="F21" s="18"/>
      <c r="G21" s="18">
        <f>IF(OR(C21="",I21=""),"",WORKDAY.INTL(E21,IF(J21="",I21,J21)-1,"0000111",'Holiday Schedule'!$C$9:$C$18))</f>
      </c>
      <c r="H21" s="18"/>
      <c r="I21" s="11">
        <f t="shared" si="6"/>
        <v>0</v>
      </c>
      <c r="L21" s="11" t="str">
        <f t="shared" ca="1" si="3"/>
        <v>Behind</v>
      </c>
      <c r="DO21" s="11">
        <f t="shared" ca="1" si="4"/>
        <v>0</v>
      </c>
    </row>
    <row r="22" spans="1:119" s="13" customFormat="1" ht="18.95" customHeight="1" x14ac:dyDescent="0.25">
      <c r="B22" s="13">
        <f>IF(C22="","ADD",COUNTIF($C$9:C22,"&lt;&gt;"))</f>
        <v>14</v>
      </c>
      <c r="C22" s="13" t="s">
        <v>86</v>
      </c>
      <c r="E22" s="19">
        <f>IF(C22="","",WORKDAY.INTL(G21,1,"0000111",'Holiday Schedule'!$C$9:$C$18))</f>
      </c>
      <c r="F22" s="19"/>
      <c r="G22" s="19">
        <f>IF(OR(C22="",I22=""),"",WORKDAY.INTL(E22,IF(J22="",I22,J22)-1,"0000111",'Holiday Schedule'!$C$9:$C$18))</f>
      </c>
      <c r="H22" s="19"/>
      <c r="I22" s="11">
        <f t="shared" si="6"/>
        <v>0</v>
      </c>
      <c r="L22" s="13" t="str">
        <f t="shared" ca="1" si="3"/>
        <v>Behind</v>
      </c>
      <c r="DO22" s="13">
        <f t="shared" ca="1" si="4"/>
        <v>0</v>
      </c>
    </row>
    <row r="23" spans="1:119" s="11" customFormat="1" ht="18.95" customHeight="1" x14ac:dyDescent="0.25">
      <c r="B23" s="11">
        <f>IF(C23="","ADD",COUNTIF($C$9:C23,"&lt;&gt;"))</f>
        <v>15</v>
      </c>
      <c r="C23" s="11" t="s">
        <v>87</v>
      </c>
      <c r="E23" s="18">
        <f>IF(C23="","",WORKDAY.INTL(G22,1,"0000111",'Holiday Schedule'!$C$9:$C$18))</f>
      </c>
      <c r="F23" s="18"/>
      <c r="G23" s="18">
        <f>IF(OR(C23="",I23=""),"",WORKDAY.INTL(E23,IF(J23="",I23,J23)-1,"0000111",'Holiday Schedule'!$C$9:$C$18))</f>
      </c>
      <c r="H23" s="18"/>
      <c r="I23" s="11">
        <f t="shared" si="6"/>
        <v>0</v>
      </c>
      <c r="L23" s="11" t="str">
        <f t="shared" ca="1" si="3"/>
        <v>Behind</v>
      </c>
      <c r="DO23" s="11">
        <f t="shared" ca="1" si="4"/>
        <v>0</v>
      </c>
    </row>
    <row r="24" spans="1:119" s="13" customFormat="1" ht="18.95" customHeight="1" x14ac:dyDescent="0.25">
      <c r="B24" s="13" t="str">
        <f>IF(C24="","ADD",COUNTIF($C$9:C24,"&lt;&gt;"))</f>
        <v>ADD</v>
      </c>
      <c r="E24" s="19" t="str">
        <f>IF(C24="","",WORKDAY.INTL(G23,1,"0000111",'Holiday Schedule'!$C$9:$C$18))</f>
        <v/>
      </c>
      <c r="F24" s="19"/>
      <c r="G24" s="19" t="str">
        <f>IF(OR(C24="",I24=""),"",WORKDAY.INTL(E24,IF(J24="",I24,J24)-1,"0000111",'Holiday Schedule'!$C$9:$C$18))</f>
        <v/>
      </c>
      <c r="H24" s="19"/>
      <c r="I24" s="11">
        <f t="shared" si="6"/>
        <v>0</v>
      </c>
      <c r="L24" s="13" t="str">
        <f t="shared" ca="1" si="3"/>
        <v/>
      </c>
      <c r="DO24" s="13" t="str">
        <f t="shared" si="4"/>
        <v/>
      </c>
    </row>
    <row r="25" spans="1:119" ht="33.6" customHeight="1" x14ac:dyDescent="0.25">
      <c r="A25" s="1"/>
      <c r="B25" s="11" t="str">
        <f>IF(C25="","ADD",COUNTIF($C$9:C25,"&lt;&gt;"))</f>
        <v>ADD</v>
      </c>
      <c r="C25" s="37"/>
      <c r="D25" s="37"/>
      <c r="E25" s="18" t="str">
        <f>IF(C25="","",WORKDAY.INTL(G24,1,"0000111",'Holiday Schedule'!$C$9:$C$18))</f>
        <v/>
      </c>
      <c r="F25" s="18"/>
      <c r="G25" s="18" t="str">
        <f>IF(OR(C25="",I25=""),"",WORKDAY.INTL(E25,IF(J25="",I25,J25)-1,"0000111",'Holiday Schedule'!$C$9:$C$18))</f>
        <v/>
      </c>
      <c r="H25" s="18"/>
      <c r="I25" s="11"/>
      <c r="J25" s="11"/>
      <c r="K25" s="7"/>
      <c r="L25" s="11" t="str">
        <f t="shared" ca="1" si="3"/>
        <v/>
      </c>
      <c r="M25" s="11" t="s">
        <v>37</v>
      </c>
      <c r="N25" s="36"/>
      <c r="O25" s="36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t="str">
        <f t="shared" si="4"/>
        <v/>
      </c>
    </row>
    <row r="26" spans="1:119" ht="18.95" customHeight="1" x14ac:dyDescent="0.25"/>
    <row r="27" spans="1:119" ht="18.95" customHeight="1" x14ac:dyDescent="0.25"/>
    <row r="28" spans="1:119" ht="18.95" customHeight="1" x14ac:dyDescent="0.25"/>
    <row r="29" spans="1:119" ht="18.95" customHeight="1" x14ac:dyDescent="0.25"/>
    <row r="30" spans="1:119" ht="18.95" customHeight="1" x14ac:dyDescent="0.25"/>
    <row r="31" spans="1:119" ht="18.95" customHeight="1" x14ac:dyDescent="0.25"/>
    <row r="32" spans="1:119" ht="18.95" customHeight="1" x14ac:dyDescent="0.25"/>
    <row r="33" spans="5:119" ht="18.95" customHeight="1" x14ac:dyDescent="0.25"/>
    <row r="34" spans="5:119" ht="18.95" customHeight="1" x14ac:dyDescent="0.25"/>
    <row r="35" spans="5:119" ht="18.95" customHeight="1" x14ac:dyDescent="0.25">
      <c r="E35" s="20"/>
      <c r="F35" s="20"/>
      <c r="G35" s="20"/>
      <c r="H35" s="20"/>
      <c r="K35" s="21"/>
      <c r="L35" t="str">
        <f t="shared" ref="L35:L96" ca="1" si="7">IF(C35="","",IF(K35&gt;=1,"Complete",IF(TODAY()&lt;E35,"Not Started",IF(K35&gt;=NETWORKDAYS.INTL(E35,MIN(TODAY(),G35),"0001111")/NETWORKDAYS.INTL(E35,G35,"0001111"),"On Track","Behind"))))</f>
        <v/>
      </c>
      <c r="O35" s="31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  <c r="BN35" s="35"/>
      <c r="BO35" s="35"/>
      <c r="BP35" s="35"/>
      <c r="BQ35" s="35"/>
      <c r="BR35" s="35"/>
      <c r="BS35" s="35"/>
      <c r="BT35" s="35"/>
      <c r="BU35" s="35"/>
      <c r="BV35" s="35"/>
      <c r="BW35" s="35"/>
      <c r="BX35" s="35"/>
      <c r="BY35" s="35"/>
      <c r="BZ35" s="35"/>
      <c r="CA35" s="35"/>
      <c r="CB35" s="35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  <c r="CX35" s="35"/>
      <c r="CY35" s="35"/>
      <c r="CZ35" s="35"/>
      <c r="DA35" s="35"/>
      <c r="DB35" s="35"/>
      <c r="DC35" s="35"/>
      <c r="DD35" s="35"/>
      <c r="DE35" s="35"/>
      <c r="DF35" s="35"/>
      <c r="DG35" s="35"/>
      <c r="DH35" s="35"/>
      <c r="DI35" s="35"/>
      <c r="DJ35" s="35"/>
      <c r="DK35" s="35"/>
      <c r="DL35" s="35"/>
      <c r="DM35" s="35"/>
      <c r="DN35" s="35"/>
      <c r="DO35" t="str">
        <f t="shared" si="4"/>
        <v/>
      </c>
    </row>
    <row r="36" spans="5:119" ht="18.95" customHeight="1" x14ac:dyDescent="0.25">
      <c r="E36" s="20"/>
      <c r="F36" s="20"/>
      <c r="G36" s="20"/>
      <c r="H36" s="20"/>
      <c r="K36" s="21"/>
      <c r="L36" t="str">
        <f t="shared" ca="1" si="7"/>
        <v/>
      </c>
      <c r="O36" s="23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5"/>
      <c r="BM36" s="35"/>
      <c r="BN36" s="35"/>
      <c r="BO36" s="35"/>
      <c r="BP36" s="35"/>
      <c r="BQ36" s="35"/>
      <c r="BR36" s="35"/>
      <c r="BS36" s="35"/>
      <c r="BT36" s="35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  <c r="CX36" s="35"/>
      <c r="CY36" s="35"/>
      <c r="CZ36" s="35"/>
      <c r="DA36" s="35"/>
      <c r="DB36" s="35"/>
      <c r="DC36" s="35"/>
      <c r="DD36" s="35"/>
      <c r="DE36" s="35"/>
      <c r="DF36" s="35"/>
      <c r="DG36" s="35"/>
      <c r="DH36" s="35"/>
      <c r="DI36" s="35"/>
      <c r="DJ36" s="35"/>
      <c r="DK36" s="35"/>
      <c r="DL36" s="35"/>
      <c r="DM36" s="35"/>
      <c r="DN36" s="35"/>
      <c r="DO36" t="str">
        <f t="shared" si="4"/>
        <v/>
      </c>
    </row>
    <row r="37" spans="5:119" ht="18.95" customHeight="1" x14ac:dyDescent="0.25">
      <c r="E37" s="20"/>
      <c r="F37" s="20"/>
      <c r="G37" s="20"/>
      <c r="H37" s="20"/>
      <c r="K37" s="21"/>
      <c r="L37" t="str">
        <f t="shared" ca="1" si="7"/>
        <v/>
      </c>
      <c r="O37" s="31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  <c r="CX37" s="35"/>
      <c r="CY37" s="35"/>
      <c r="CZ37" s="35"/>
      <c r="DA37" s="35"/>
      <c r="DB37" s="35"/>
      <c r="DC37" s="35"/>
      <c r="DD37" s="35"/>
      <c r="DE37" s="35"/>
      <c r="DF37" s="35"/>
      <c r="DG37" s="35"/>
      <c r="DH37" s="35"/>
      <c r="DI37" s="35"/>
      <c r="DJ37" s="35"/>
      <c r="DK37" s="35"/>
      <c r="DL37" s="35"/>
      <c r="DM37" s="35"/>
      <c r="DN37" s="35"/>
      <c r="DO37" t="str">
        <f t="shared" si="4"/>
        <v/>
      </c>
    </row>
    <row r="38" spans="5:119" ht="18.95" customHeight="1" x14ac:dyDescent="0.25">
      <c r="E38" s="20"/>
      <c r="F38" s="20"/>
      <c r="G38" s="20"/>
      <c r="H38" s="20"/>
      <c r="K38" s="21"/>
      <c r="L38" t="str">
        <f t="shared" ca="1" si="7"/>
        <v/>
      </c>
      <c r="O38" s="23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5"/>
      <c r="BM38" s="35"/>
      <c r="BN38" s="35"/>
      <c r="BO38" s="35"/>
      <c r="BP38" s="35"/>
      <c r="BQ38" s="35"/>
      <c r="BR38" s="35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35"/>
      <c r="CD38" s="35"/>
      <c r="CE38" s="35"/>
      <c r="CF38" s="35"/>
      <c r="CG38" s="35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35"/>
      <c r="CT38" s="35"/>
      <c r="CU38" s="35"/>
      <c r="CV38" s="35"/>
      <c r="CW38" s="35"/>
      <c r="CX38" s="35"/>
      <c r="CY38" s="35"/>
      <c r="CZ38" s="35"/>
      <c r="DA38" s="35"/>
      <c r="DB38" s="35"/>
      <c r="DC38" s="35"/>
      <c r="DD38" s="35"/>
      <c r="DE38" s="35"/>
      <c r="DF38" s="35"/>
      <c r="DG38" s="35"/>
      <c r="DH38" s="35"/>
      <c r="DI38" s="35"/>
      <c r="DJ38" s="35"/>
      <c r="DK38" s="35"/>
      <c r="DL38" s="35"/>
      <c r="DM38" s="35"/>
      <c r="DN38" s="35"/>
      <c r="DO38" t="str">
        <f t="shared" si="4"/>
        <v/>
      </c>
    </row>
    <row r="39" spans="5:119" ht="18.95" customHeight="1" x14ac:dyDescent="0.25">
      <c r="E39" s="20"/>
      <c r="F39" s="20"/>
      <c r="G39" s="20"/>
      <c r="H39" s="20"/>
      <c r="K39" s="21"/>
      <c r="L39" t="str">
        <f t="shared" ca="1" si="7"/>
        <v/>
      </c>
      <c r="O39" s="31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5"/>
      <c r="BM39" s="35"/>
      <c r="BN39" s="35"/>
      <c r="BO39" s="35"/>
      <c r="BP39" s="35"/>
      <c r="BQ39" s="35"/>
      <c r="BR39" s="35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35"/>
      <c r="CD39" s="35"/>
      <c r="CE39" s="35"/>
      <c r="CF39" s="35"/>
      <c r="CG39" s="35"/>
      <c r="CH39" s="35"/>
      <c r="CI39" s="35"/>
      <c r="CJ39" s="35"/>
      <c r="CK39" s="35"/>
      <c r="CL39" s="35"/>
      <c r="CM39" s="35"/>
      <c r="CN39" s="35"/>
      <c r="CO39" s="35"/>
      <c r="CP39" s="35"/>
      <c r="CQ39" s="35"/>
      <c r="CR39" s="35"/>
      <c r="CS39" s="35"/>
      <c r="CT39" s="35"/>
      <c r="CU39" s="35"/>
      <c r="CV39" s="35"/>
      <c r="CW39" s="35"/>
      <c r="CX39" s="35"/>
      <c r="CY39" s="35"/>
      <c r="CZ39" s="35"/>
      <c r="DA39" s="35"/>
      <c r="DB39" s="35"/>
      <c r="DC39" s="35"/>
      <c r="DD39" s="35"/>
      <c r="DE39" s="35"/>
      <c r="DF39" s="35"/>
      <c r="DG39" s="35"/>
      <c r="DH39" s="35"/>
      <c r="DI39" s="35"/>
      <c r="DJ39" s="35"/>
      <c r="DK39" s="35"/>
      <c r="DL39" s="35"/>
      <c r="DM39" s="35"/>
      <c r="DN39" s="35"/>
      <c r="DO39" t="str">
        <f t="shared" si="4"/>
        <v/>
      </c>
    </row>
    <row r="40" spans="5:119" ht="18.95" customHeight="1" x14ac:dyDescent="0.25">
      <c r="E40" s="20"/>
      <c r="F40" s="20"/>
      <c r="G40" s="20"/>
      <c r="H40" s="20"/>
      <c r="K40" s="21"/>
      <c r="L40" t="str">
        <f t="shared" ca="1" si="7"/>
        <v/>
      </c>
      <c r="O40" s="23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  <c r="CD40" s="35"/>
      <c r="CE40" s="35"/>
      <c r="CF40" s="35"/>
      <c r="CG40" s="35"/>
      <c r="CH40" s="35"/>
      <c r="CI40" s="35"/>
      <c r="CJ40" s="35"/>
      <c r="CK40" s="35"/>
      <c r="CL40" s="35"/>
      <c r="CM40" s="35"/>
      <c r="CN40" s="35"/>
      <c r="CO40" s="35"/>
      <c r="CP40" s="35"/>
      <c r="CQ40" s="35"/>
      <c r="CR40" s="35"/>
      <c r="CS40" s="35"/>
      <c r="CT40" s="35"/>
      <c r="CU40" s="35"/>
      <c r="CV40" s="35"/>
      <c r="CW40" s="35"/>
      <c r="CX40" s="35"/>
      <c r="CY40" s="35"/>
      <c r="CZ40" s="35"/>
      <c r="DA40" s="35"/>
      <c r="DB40" s="35"/>
      <c r="DC40" s="35"/>
      <c r="DD40" s="35"/>
      <c r="DE40" s="35"/>
      <c r="DF40" s="35"/>
      <c r="DG40" s="35"/>
      <c r="DH40" s="35"/>
      <c r="DI40" s="35"/>
      <c r="DJ40" s="35"/>
      <c r="DK40" s="35"/>
      <c r="DL40" s="35"/>
      <c r="DM40" s="35"/>
      <c r="DN40" s="35"/>
      <c r="DO40" t="str">
        <f t="shared" si="4"/>
        <v/>
      </c>
    </row>
    <row r="41" spans="5:119" ht="18.95" customHeight="1" x14ac:dyDescent="0.25">
      <c r="E41" s="20"/>
      <c r="F41" s="20"/>
      <c r="G41" s="20"/>
      <c r="H41" s="20"/>
      <c r="K41" s="21"/>
      <c r="L41" t="str">
        <f t="shared" ca="1" si="7"/>
        <v/>
      </c>
      <c r="O41" s="31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5"/>
      <c r="BM41" s="35"/>
      <c r="BN41" s="35"/>
      <c r="BO41" s="35"/>
      <c r="BP41" s="35"/>
      <c r="BQ41" s="35"/>
      <c r="BR41" s="35"/>
      <c r="BS41" s="35"/>
      <c r="BT41" s="35"/>
      <c r="BU41" s="35"/>
      <c r="BV41" s="35"/>
      <c r="BW41" s="35"/>
      <c r="BX41" s="35"/>
      <c r="BY41" s="35"/>
      <c r="BZ41" s="35"/>
      <c r="CA41" s="35"/>
      <c r="CB41" s="35"/>
      <c r="CC41" s="35"/>
      <c r="CD41" s="35"/>
      <c r="CE41" s="35"/>
      <c r="CF41" s="35"/>
      <c r="CG41" s="35"/>
      <c r="CH41" s="35"/>
      <c r="CI41" s="35"/>
      <c r="CJ41" s="35"/>
      <c r="CK41" s="35"/>
      <c r="CL41" s="35"/>
      <c r="CM41" s="35"/>
      <c r="CN41" s="35"/>
      <c r="CO41" s="35"/>
      <c r="CP41" s="35"/>
      <c r="CQ41" s="35"/>
      <c r="CR41" s="35"/>
      <c r="CS41" s="35"/>
      <c r="CT41" s="35"/>
      <c r="CU41" s="35"/>
      <c r="CV41" s="35"/>
      <c r="CW41" s="35"/>
      <c r="CX41" s="35"/>
      <c r="CY41" s="35"/>
      <c r="CZ41" s="35"/>
      <c r="DA41" s="35"/>
      <c r="DB41" s="35"/>
      <c r="DC41" s="35"/>
      <c r="DD41" s="35"/>
      <c r="DE41" s="35"/>
      <c r="DF41" s="35"/>
      <c r="DG41" s="35"/>
      <c r="DH41" s="35"/>
      <c r="DI41" s="35"/>
      <c r="DJ41" s="35"/>
      <c r="DK41" s="35"/>
      <c r="DL41" s="35"/>
      <c r="DM41" s="35"/>
      <c r="DN41" s="35"/>
      <c r="DO41" t="str">
        <f t="shared" si="4"/>
        <v/>
      </c>
    </row>
    <row r="42" spans="5:119" ht="18.95" customHeight="1" x14ac:dyDescent="0.25">
      <c r="E42" s="20"/>
      <c r="F42" s="20"/>
      <c r="G42" s="20"/>
      <c r="H42" s="20"/>
      <c r="K42" s="21"/>
      <c r="L42" t="str">
        <f t="shared" ca="1" si="7"/>
        <v/>
      </c>
      <c r="O42" s="23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/>
      <c r="CD42" s="35"/>
      <c r="CE42" s="35"/>
      <c r="CF42" s="35"/>
      <c r="CG42" s="35"/>
      <c r="CH42" s="35"/>
      <c r="CI42" s="35"/>
      <c r="CJ42" s="35"/>
      <c r="CK42" s="35"/>
      <c r="CL42" s="35"/>
      <c r="CM42" s="35"/>
      <c r="CN42" s="35"/>
      <c r="CO42" s="35"/>
      <c r="CP42" s="35"/>
      <c r="CQ42" s="35"/>
      <c r="CR42" s="35"/>
      <c r="CS42" s="35"/>
      <c r="CT42" s="35"/>
      <c r="CU42" s="35"/>
      <c r="CV42" s="35"/>
      <c r="CW42" s="35"/>
      <c r="CX42" s="35"/>
      <c r="CY42" s="35"/>
      <c r="CZ42" s="35"/>
      <c r="DA42" s="35"/>
      <c r="DB42" s="35"/>
      <c r="DC42" s="35"/>
      <c r="DD42" s="35"/>
      <c r="DE42" s="35"/>
      <c r="DF42" s="35"/>
      <c r="DG42" s="35"/>
      <c r="DH42" s="35"/>
      <c r="DI42" s="35"/>
      <c r="DJ42" s="35"/>
      <c r="DK42" s="35"/>
      <c r="DL42" s="35"/>
      <c r="DM42" s="35"/>
      <c r="DN42" s="35"/>
      <c r="DO42" t="str">
        <f t="shared" si="4"/>
        <v/>
      </c>
    </row>
    <row r="43" spans="5:119" ht="18.95" customHeight="1" x14ac:dyDescent="0.25">
      <c r="E43" s="20"/>
      <c r="F43" s="20"/>
      <c r="G43" s="20"/>
      <c r="H43" s="20"/>
      <c r="K43" s="21"/>
      <c r="L43" t="str">
        <f t="shared" ca="1" si="7"/>
        <v/>
      </c>
      <c r="O43" s="31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35"/>
      <c r="CD43" s="35"/>
      <c r="CE43" s="35"/>
      <c r="CF43" s="35"/>
      <c r="CG43" s="35"/>
      <c r="CH43" s="35"/>
      <c r="CI43" s="35"/>
      <c r="CJ43" s="35"/>
      <c r="CK43" s="35"/>
      <c r="CL43" s="35"/>
      <c r="CM43" s="35"/>
      <c r="CN43" s="35"/>
      <c r="CO43" s="35"/>
      <c r="CP43" s="35"/>
      <c r="CQ43" s="35"/>
      <c r="CR43" s="35"/>
      <c r="CS43" s="35"/>
      <c r="CT43" s="35"/>
      <c r="CU43" s="35"/>
      <c r="CV43" s="35"/>
      <c r="CW43" s="35"/>
      <c r="CX43" s="35"/>
      <c r="CY43" s="35"/>
      <c r="CZ43" s="35"/>
      <c r="DA43" s="35"/>
      <c r="DB43" s="35"/>
      <c r="DC43" s="35"/>
      <c r="DD43" s="35"/>
      <c r="DE43" s="35"/>
      <c r="DF43" s="35"/>
      <c r="DG43" s="35"/>
      <c r="DH43" s="35"/>
      <c r="DI43" s="35"/>
      <c r="DJ43" s="35"/>
      <c r="DK43" s="35"/>
      <c r="DL43" s="35"/>
      <c r="DM43" s="35"/>
      <c r="DN43" s="35"/>
      <c r="DO43" t="str">
        <f t="shared" si="4"/>
        <v/>
      </c>
    </row>
    <row r="44" spans="5:119" ht="18.95" customHeight="1" x14ac:dyDescent="0.25">
      <c r="E44" s="20"/>
      <c r="F44" s="20"/>
      <c r="G44" s="20"/>
      <c r="H44" s="20"/>
      <c r="K44" s="21"/>
      <c r="L44" t="str">
        <f t="shared" ca="1" si="7"/>
        <v/>
      </c>
      <c r="O44" s="23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5"/>
      <c r="BM44" s="35"/>
      <c r="BN44" s="35"/>
      <c r="BO44" s="35"/>
      <c r="BP44" s="35"/>
      <c r="BQ44" s="35"/>
      <c r="BR44" s="35"/>
      <c r="BS44" s="35"/>
      <c r="BT44" s="35"/>
      <c r="BU44" s="35"/>
      <c r="BV44" s="35"/>
      <c r="BW44" s="35"/>
      <c r="BX44" s="35"/>
      <c r="BY44" s="35"/>
      <c r="BZ44" s="35"/>
      <c r="CA44" s="35"/>
      <c r="CB44" s="35"/>
      <c r="CC44" s="35"/>
      <c r="CD44" s="35"/>
      <c r="CE44" s="35"/>
      <c r="CF44" s="35"/>
      <c r="CG44" s="35"/>
      <c r="CH44" s="35"/>
      <c r="CI44" s="35"/>
      <c r="CJ44" s="35"/>
      <c r="CK44" s="35"/>
      <c r="CL44" s="35"/>
      <c r="CM44" s="35"/>
      <c r="CN44" s="35"/>
      <c r="CO44" s="35"/>
      <c r="CP44" s="35"/>
      <c r="CQ44" s="35"/>
      <c r="CR44" s="35"/>
      <c r="CS44" s="35"/>
      <c r="CT44" s="35"/>
      <c r="CU44" s="35"/>
      <c r="CV44" s="35"/>
      <c r="CW44" s="35"/>
      <c r="CX44" s="35"/>
      <c r="CY44" s="35"/>
      <c r="CZ44" s="35"/>
      <c r="DA44" s="35"/>
      <c r="DB44" s="35"/>
      <c r="DC44" s="35"/>
      <c r="DD44" s="35"/>
      <c r="DE44" s="35"/>
      <c r="DF44" s="35"/>
      <c r="DG44" s="35"/>
      <c r="DH44" s="35"/>
      <c r="DI44" s="35"/>
      <c r="DJ44" s="35"/>
      <c r="DK44" s="35"/>
      <c r="DL44" s="35"/>
      <c r="DM44" s="35"/>
      <c r="DN44" s="35"/>
      <c r="DO44" t="str">
        <f t="shared" si="4"/>
        <v/>
      </c>
    </row>
    <row r="45" spans="5:119" ht="18.95" customHeight="1" x14ac:dyDescent="0.25">
      <c r="E45" s="20"/>
      <c r="F45" s="20"/>
      <c r="G45" s="20"/>
      <c r="H45" s="20"/>
      <c r="K45" s="21"/>
      <c r="L45" t="str">
        <f t="shared" ca="1" si="7"/>
        <v/>
      </c>
      <c r="O45" s="31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35"/>
      <c r="CT45" s="35"/>
      <c r="CU45" s="35"/>
      <c r="CV45" s="35"/>
      <c r="CW45" s="35"/>
      <c r="CX45" s="35"/>
      <c r="CY45" s="35"/>
      <c r="CZ45" s="35"/>
      <c r="DA45" s="35"/>
      <c r="DB45" s="35"/>
      <c r="DC45" s="35"/>
      <c r="DD45" s="35"/>
      <c r="DE45" s="35"/>
      <c r="DF45" s="35"/>
      <c r="DG45" s="35"/>
      <c r="DH45" s="35"/>
      <c r="DI45" s="35"/>
      <c r="DJ45" s="35"/>
      <c r="DK45" s="35"/>
      <c r="DL45" s="35"/>
      <c r="DM45" s="35"/>
      <c r="DN45" s="35"/>
      <c r="DO45" t="str">
        <f t="shared" si="4"/>
        <v/>
      </c>
    </row>
    <row r="46" spans="5:119" ht="18.95" customHeight="1" x14ac:dyDescent="0.25">
      <c r="E46" s="20"/>
      <c r="F46" s="20"/>
      <c r="G46" s="20"/>
      <c r="H46" s="20"/>
      <c r="K46" s="21"/>
      <c r="L46" t="str">
        <f t="shared" ca="1" si="7"/>
        <v/>
      </c>
      <c r="O46" s="23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  <c r="BN46" s="35"/>
      <c r="BO46" s="35"/>
      <c r="BP46" s="35"/>
      <c r="BQ46" s="35"/>
      <c r="BR46" s="35"/>
      <c r="BS46" s="35"/>
      <c r="BT46" s="35"/>
      <c r="BU46" s="35"/>
      <c r="BV46" s="35"/>
      <c r="BW46" s="35"/>
      <c r="BX46" s="35"/>
      <c r="BY46" s="35"/>
      <c r="BZ46" s="35"/>
      <c r="CA46" s="35"/>
      <c r="CB46" s="35"/>
      <c r="CC46" s="35"/>
      <c r="CD46" s="35"/>
      <c r="CE46" s="35"/>
      <c r="CF46" s="35"/>
      <c r="CG46" s="35"/>
      <c r="CH46" s="35"/>
      <c r="CI46" s="35"/>
      <c r="CJ46" s="35"/>
      <c r="CK46" s="35"/>
      <c r="CL46" s="35"/>
      <c r="CM46" s="35"/>
      <c r="CN46" s="35"/>
      <c r="CO46" s="35"/>
      <c r="CP46" s="35"/>
      <c r="CQ46" s="35"/>
      <c r="CR46" s="35"/>
      <c r="CS46" s="35"/>
      <c r="CT46" s="35"/>
      <c r="CU46" s="35"/>
      <c r="CV46" s="35"/>
      <c r="CW46" s="35"/>
      <c r="CX46" s="35"/>
      <c r="CY46" s="35"/>
      <c r="CZ46" s="35"/>
      <c r="DA46" s="35"/>
      <c r="DB46" s="35"/>
      <c r="DC46" s="35"/>
      <c r="DD46" s="35"/>
      <c r="DE46" s="35"/>
      <c r="DF46" s="35"/>
      <c r="DG46" s="35"/>
      <c r="DH46" s="35"/>
      <c r="DI46" s="35"/>
      <c r="DJ46" s="35"/>
      <c r="DK46" s="35"/>
      <c r="DL46" s="35"/>
      <c r="DM46" s="35"/>
      <c r="DN46" s="35"/>
      <c r="DO46" t="str">
        <f t="shared" si="4"/>
        <v/>
      </c>
    </row>
    <row r="47" spans="5:119" ht="18.95" customHeight="1" x14ac:dyDescent="0.25">
      <c r="E47" s="20"/>
      <c r="F47" s="20"/>
      <c r="G47" s="20"/>
      <c r="H47" s="20"/>
      <c r="K47" s="21"/>
      <c r="L47" t="str">
        <f t="shared" ca="1" si="7"/>
        <v/>
      </c>
      <c r="O47" s="31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35"/>
      <c r="CF47" s="35"/>
      <c r="CG47" s="35"/>
      <c r="CH47" s="35"/>
      <c r="CI47" s="35"/>
      <c r="CJ47" s="35"/>
      <c r="CK47" s="35"/>
      <c r="CL47" s="35"/>
      <c r="CM47" s="35"/>
      <c r="CN47" s="35"/>
      <c r="CO47" s="35"/>
      <c r="CP47" s="35"/>
      <c r="CQ47" s="35"/>
      <c r="CR47" s="35"/>
      <c r="CS47" s="35"/>
      <c r="CT47" s="35"/>
      <c r="CU47" s="35"/>
      <c r="CV47" s="35"/>
      <c r="CW47" s="35"/>
      <c r="CX47" s="35"/>
      <c r="CY47" s="35"/>
      <c r="CZ47" s="35"/>
      <c r="DA47" s="35"/>
      <c r="DB47" s="35"/>
      <c r="DC47" s="35"/>
      <c r="DD47" s="35"/>
      <c r="DE47" s="35"/>
      <c r="DF47" s="35"/>
      <c r="DG47" s="35"/>
      <c r="DH47" s="35"/>
      <c r="DI47" s="35"/>
      <c r="DJ47" s="35"/>
      <c r="DK47" s="35"/>
      <c r="DL47" s="35"/>
      <c r="DM47" s="35"/>
      <c r="DN47" s="35"/>
      <c r="DO47" t="str">
        <f t="shared" si="4"/>
        <v/>
      </c>
    </row>
    <row r="48" spans="5:119" ht="18.95" customHeight="1" x14ac:dyDescent="0.25">
      <c r="E48" s="20"/>
      <c r="F48" s="20"/>
      <c r="G48" s="20"/>
      <c r="H48" s="20"/>
      <c r="K48" s="21"/>
      <c r="L48" t="str">
        <f t="shared" ca="1" si="7"/>
        <v/>
      </c>
      <c r="O48" s="23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35"/>
      <c r="DN48" s="35"/>
      <c r="DO48" t="str">
        <f t="shared" si="4"/>
        <v/>
      </c>
    </row>
    <row r="49" spans="5:119" ht="18.95" customHeight="1" x14ac:dyDescent="0.25">
      <c r="E49" s="20"/>
      <c r="F49" s="20"/>
      <c r="G49" s="20"/>
      <c r="H49" s="20"/>
      <c r="K49" s="21"/>
      <c r="L49" t="str">
        <f t="shared" ca="1" si="7"/>
        <v/>
      </c>
      <c r="O49" s="31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5"/>
      <c r="BZ49" s="35"/>
      <c r="CA49" s="35"/>
      <c r="CB49" s="35"/>
      <c r="CC49" s="35"/>
      <c r="CD49" s="35"/>
      <c r="CE49" s="35"/>
      <c r="CF49" s="35"/>
      <c r="CG49" s="35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35"/>
      <c r="CT49" s="35"/>
      <c r="CU49" s="35"/>
      <c r="CV49" s="35"/>
      <c r="CW49" s="35"/>
      <c r="CX49" s="35"/>
      <c r="CY49" s="35"/>
      <c r="CZ49" s="35"/>
      <c r="DA49" s="35"/>
      <c r="DB49" s="35"/>
      <c r="DC49" s="35"/>
      <c r="DD49" s="35"/>
      <c r="DE49" s="35"/>
      <c r="DF49" s="35"/>
      <c r="DG49" s="35"/>
      <c r="DH49" s="35"/>
      <c r="DI49" s="35"/>
      <c r="DJ49" s="35"/>
      <c r="DK49" s="35"/>
      <c r="DL49" s="35"/>
      <c r="DM49" s="35"/>
      <c r="DN49" s="35"/>
      <c r="DO49" t="str">
        <f t="shared" si="4"/>
        <v/>
      </c>
    </row>
    <row r="50" spans="5:119" ht="18.95" customHeight="1" x14ac:dyDescent="0.25">
      <c r="E50" s="20"/>
      <c r="F50" s="20"/>
      <c r="G50" s="20"/>
      <c r="H50" s="20"/>
      <c r="K50" s="21"/>
      <c r="L50" t="str">
        <f t="shared" ca="1" si="7"/>
        <v/>
      </c>
      <c r="O50" s="23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35"/>
      <c r="CF50" s="35"/>
      <c r="CG50" s="35"/>
      <c r="CH50" s="35"/>
      <c r="CI50" s="35"/>
      <c r="CJ50" s="35"/>
      <c r="CK50" s="35"/>
      <c r="CL50" s="35"/>
      <c r="CM50" s="35"/>
      <c r="CN50" s="35"/>
      <c r="CO50" s="35"/>
      <c r="CP50" s="35"/>
      <c r="CQ50" s="35"/>
      <c r="CR50" s="35"/>
      <c r="CS50" s="35"/>
      <c r="CT50" s="35"/>
      <c r="CU50" s="35"/>
      <c r="CV50" s="35"/>
      <c r="CW50" s="35"/>
      <c r="CX50" s="35"/>
      <c r="CY50" s="35"/>
      <c r="CZ50" s="35"/>
      <c r="DA50" s="35"/>
      <c r="DB50" s="35"/>
      <c r="DC50" s="35"/>
      <c r="DD50" s="35"/>
      <c r="DE50" s="35"/>
      <c r="DF50" s="35"/>
      <c r="DG50" s="35"/>
      <c r="DH50" s="35"/>
      <c r="DI50" s="35"/>
      <c r="DJ50" s="35"/>
      <c r="DK50" s="35"/>
      <c r="DL50" s="35"/>
      <c r="DM50" s="35"/>
      <c r="DN50" s="35"/>
      <c r="DO50" t="str">
        <f t="shared" si="4"/>
        <v/>
      </c>
    </row>
    <row r="51" spans="5:119" ht="18.95" customHeight="1" x14ac:dyDescent="0.25">
      <c r="E51" s="20"/>
      <c r="F51" s="20"/>
      <c r="G51" s="20"/>
      <c r="H51" s="20"/>
      <c r="K51" s="21"/>
      <c r="L51" t="str">
        <f t="shared" ca="1" si="7"/>
        <v/>
      </c>
      <c r="O51" s="31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5"/>
      <c r="BM51" s="35"/>
      <c r="BN51" s="35"/>
      <c r="BO51" s="35"/>
      <c r="BP51" s="35"/>
      <c r="BQ51" s="35"/>
      <c r="BR51" s="35"/>
      <c r="BS51" s="35"/>
      <c r="BT51" s="35"/>
      <c r="BU51" s="35"/>
      <c r="BV51" s="35"/>
      <c r="BW51" s="35"/>
      <c r="BX51" s="35"/>
      <c r="BY51" s="35"/>
      <c r="BZ51" s="35"/>
      <c r="CA51" s="35"/>
      <c r="CB51" s="35"/>
      <c r="CC51" s="35"/>
      <c r="CD51" s="35"/>
      <c r="CE51" s="35"/>
      <c r="CF51" s="35"/>
      <c r="CG51" s="35"/>
      <c r="CH51" s="35"/>
      <c r="CI51" s="35"/>
      <c r="CJ51" s="35"/>
      <c r="CK51" s="35"/>
      <c r="CL51" s="35"/>
      <c r="CM51" s="35"/>
      <c r="CN51" s="35"/>
      <c r="CO51" s="35"/>
      <c r="CP51" s="35"/>
      <c r="CQ51" s="35"/>
      <c r="CR51" s="35"/>
      <c r="CS51" s="35"/>
      <c r="CT51" s="35"/>
      <c r="CU51" s="35"/>
      <c r="CV51" s="35"/>
      <c r="CW51" s="35"/>
      <c r="CX51" s="35"/>
      <c r="CY51" s="35"/>
      <c r="CZ51" s="35"/>
      <c r="DA51" s="35"/>
      <c r="DB51" s="35"/>
      <c r="DC51" s="35"/>
      <c r="DD51" s="35"/>
      <c r="DE51" s="35"/>
      <c r="DF51" s="35"/>
      <c r="DG51" s="35"/>
      <c r="DH51" s="35"/>
      <c r="DI51" s="35"/>
      <c r="DJ51" s="35"/>
      <c r="DK51" s="35"/>
      <c r="DL51" s="35"/>
      <c r="DM51" s="35"/>
      <c r="DN51" s="35"/>
      <c r="DO51" t="str">
        <f t="shared" si="4"/>
        <v/>
      </c>
    </row>
    <row r="52" spans="5:119" ht="18.95" customHeight="1" x14ac:dyDescent="0.25">
      <c r="E52" s="20"/>
      <c r="F52" s="20"/>
      <c r="G52" s="20"/>
      <c r="H52" s="20"/>
      <c r="K52" s="21"/>
      <c r="L52" t="str">
        <f t="shared" ca="1" si="7"/>
        <v/>
      </c>
      <c r="O52" s="23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35"/>
      <c r="BT52" s="35"/>
      <c r="BU52" s="35"/>
      <c r="BV52" s="35"/>
      <c r="BW52" s="35"/>
      <c r="BX52" s="35"/>
      <c r="BY52" s="35"/>
      <c r="BZ52" s="35"/>
      <c r="CA52" s="35"/>
      <c r="CB52" s="35"/>
      <c r="CC52" s="35"/>
      <c r="CD52" s="35"/>
      <c r="CE52" s="35"/>
      <c r="CF52" s="35"/>
      <c r="CG52" s="35"/>
      <c r="CH52" s="35"/>
      <c r="CI52" s="35"/>
      <c r="CJ52" s="35"/>
      <c r="CK52" s="35"/>
      <c r="CL52" s="35"/>
      <c r="CM52" s="35"/>
      <c r="CN52" s="35"/>
      <c r="CO52" s="35"/>
      <c r="CP52" s="35"/>
      <c r="CQ52" s="35"/>
      <c r="CR52" s="35"/>
      <c r="CS52" s="35"/>
      <c r="CT52" s="35"/>
      <c r="CU52" s="35"/>
      <c r="CV52" s="35"/>
      <c r="CW52" s="35"/>
      <c r="CX52" s="35"/>
      <c r="CY52" s="35"/>
      <c r="CZ52" s="35"/>
      <c r="DA52" s="35"/>
      <c r="DB52" s="35"/>
      <c r="DC52" s="35"/>
      <c r="DD52" s="35"/>
      <c r="DE52" s="35"/>
      <c r="DF52" s="35"/>
      <c r="DG52" s="35"/>
      <c r="DH52" s="35"/>
      <c r="DI52" s="35"/>
      <c r="DJ52" s="35"/>
      <c r="DK52" s="35"/>
      <c r="DL52" s="35"/>
      <c r="DM52" s="35"/>
      <c r="DN52" s="35"/>
      <c r="DO52" t="str">
        <f t="shared" si="4"/>
        <v/>
      </c>
    </row>
    <row r="53" spans="5:119" ht="18.95" customHeight="1" x14ac:dyDescent="0.25">
      <c r="E53" s="20"/>
      <c r="F53" s="20"/>
      <c r="G53" s="20"/>
      <c r="H53" s="20"/>
      <c r="K53" s="21"/>
      <c r="L53" t="str">
        <f t="shared" ca="1" si="7"/>
        <v/>
      </c>
      <c r="O53" s="31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  <c r="BV53" s="35"/>
      <c r="BW53" s="35"/>
      <c r="BX53" s="35"/>
      <c r="BY53" s="35"/>
      <c r="BZ53" s="35"/>
      <c r="CA53" s="35"/>
      <c r="CB53" s="35"/>
      <c r="CC53" s="35"/>
      <c r="CD53" s="35"/>
      <c r="CE53" s="35"/>
      <c r="CF53" s="35"/>
      <c r="CG53" s="35"/>
      <c r="CH53" s="35"/>
      <c r="CI53" s="35"/>
      <c r="CJ53" s="35"/>
      <c r="CK53" s="35"/>
      <c r="CL53" s="35"/>
      <c r="CM53" s="35"/>
      <c r="CN53" s="35"/>
      <c r="CO53" s="35"/>
      <c r="CP53" s="35"/>
      <c r="CQ53" s="35"/>
      <c r="CR53" s="35"/>
      <c r="CS53" s="35"/>
      <c r="CT53" s="35"/>
      <c r="CU53" s="35"/>
      <c r="CV53" s="35"/>
      <c r="CW53" s="35"/>
      <c r="CX53" s="35"/>
      <c r="CY53" s="35"/>
      <c r="CZ53" s="35"/>
      <c r="DA53" s="35"/>
      <c r="DB53" s="35"/>
      <c r="DC53" s="35"/>
      <c r="DD53" s="35"/>
      <c r="DE53" s="35"/>
      <c r="DF53" s="35"/>
      <c r="DG53" s="35"/>
      <c r="DH53" s="35"/>
      <c r="DI53" s="35"/>
      <c r="DJ53" s="35"/>
      <c r="DK53" s="35"/>
      <c r="DL53" s="35"/>
      <c r="DM53" s="35"/>
      <c r="DN53" s="35"/>
      <c r="DO53" t="str">
        <f t="shared" si="4"/>
        <v/>
      </c>
    </row>
    <row r="54" spans="5:119" ht="18.95" customHeight="1" x14ac:dyDescent="0.25">
      <c r="E54" s="20"/>
      <c r="F54" s="20"/>
      <c r="G54" s="20"/>
      <c r="H54" s="20"/>
      <c r="K54" s="21"/>
      <c r="L54" t="str">
        <f t="shared" ca="1" si="7"/>
        <v/>
      </c>
      <c r="O54" s="23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  <c r="BV54" s="35"/>
      <c r="BW54" s="35"/>
      <c r="BX54" s="35"/>
      <c r="BY54" s="35"/>
      <c r="BZ54" s="35"/>
      <c r="CA54" s="35"/>
      <c r="CB54" s="35"/>
      <c r="CC54" s="35"/>
      <c r="CD54" s="35"/>
      <c r="CE54" s="35"/>
      <c r="CF54" s="35"/>
      <c r="CG54" s="35"/>
      <c r="CH54" s="35"/>
      <c r="CI54" s="35"/>
      <c r="CJ54" s="35"/>
      <c r="CK54" s="35"/>
      <c r="CL54" s="35"/>
      <c r="CM54" s="35"/>
      <c r="CN54" s="35"/>
      <c r="CO54" s="35"/>
      <c r="CP54" s="35"/>
      <c r="CQ54" s="35"/>
      <c r="CR54" s="35"/>
      <c r="CS54" s="35"/>
      <c r="CT54" s="35"/>
      <c r="CU54" s="35"/>
      <c r="CV54" s="35"/>
      <c r="CW54" s="35"/>
      <c r="CX54" s="35"/>
      <c r="CY54" s="35"/>
      <c r="CZ54" s="35"/>
      <c r="DA54" s="35"/>
      <c r="DB54" s="35"/>
      <c r="DC54" s="35"/>
      <c r="DD54" s="35"/>
      <c r="DE54" s="35"/>
      <c r="DF54" s="35"/>
      <c r="DG54" s="35"/>
      <c r="DH54" s="35"/>
      <c r="DI54" s="35"/>
      <c r="DJ54" s="35"/>
      <c r="DK54" s="35"/>
      <c r="DL54" s="35"/>
      <c r="DM54" s="35"/>
      <c r="DN54" s="35"/>
      <c r="DO54" t="str">
        <f t="shared" si="4"/>
        <v/>
      </c>
    </row>
    <row r="55" spans="5:119" ht="18.95" customHeight="1" x14ac:dyDescent="0.25">
      <c r="E55" s="20"/>
      <c r="F55" s="20"/>
      <c r="G55" s="20"/>
      <c r="H55" s="20"/>
      <c r="K55" s="21"/>
      <c r="L55" t="str">
        <f t="shared" ca="1" si="7"/>
        <v/>
      </c>
      <c r="O55" s="31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5"/>
      <c r="BM55" s="35"/>
      <c r="BN55" s="35"/>
      <c r="BO55" s="35"/>
      <c r="BP55" s="35"/>
      <c r="BQ55" s="35"/>
      <c r="BR55" s="35"/>
      <c r="BS55" s="35"/>
      <c r="BT55" s="35"/>
      <c r="BU55" s="35"/>
      <c r="BV55" s="35"/>
      <c r="BW55" s="35"/>
      <c r="BX55" s="35"/>
      <c r="BY55" s="35"/>
      <c r="BZ55" s="35"/>
      <c r="CA55" s="35"/>
      <c r="CB55" s="35"/>
      <c r="CC55" s="35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5"/>
      <c r="CX55" s="35"/>
      <c r="CY55" s="35"/>
      <c r="CZ55" s="35"/>
      <c r="DA55" s="35"/>
      <c r="DB55" s="35"/>
      <c r="DC55" s="35"/>
      <c r="DD55" s="35"/>
      <c r="DE55" s="35"/>
      <c r="DF55" s="35"/>
      <c r="DG55" s="35"/>
      <c r="DH55" s="35"/>
      <c r="DI55" s="35"/>
      <c r="DJ55" s="35"/>
      <c r="DK55" s="35"/>
      <c r="DL55" s="35"/>
      <c r="DM55" s="35"/>
      <c r="DN55" s="35"/>
      <c r="DO55" t="str">
        <f t="shared" si="4"/>
        <v/>
      </c>
    </row>
    <row r="56" spans="5:119" ht="18.95" customHeight="1" x14ac:dyDescent="0.25">
      <c r="E56" s="20"/>
      <c r="F56" s="20"/>
      <c r="G56" s="20"/>
      <c r="H56" s="20"/>
      <c r="K56" s="21"/>
      <c r="L56" t="str">
        <f t="shared" ca="1" si="7"/>
        <v/>
      </c>
      <c r="O56" s="23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5"/>
      <c r="BM56" s="35"/>
      <c r="BN56" s="35"/>
      <c r="BO56" s="35"/>
      <c r="BP56" s="35"/>
      <c r="BQ56" s="35"/>
      <c r="BR56" s="35"/>
      <c r="BS56" s="35"/>
      <c r="BT56" s="35"/>
      <c r="BU56" s="35"/>
      <c r="BV56" s="35"/>
      <c r="BW56" s="35"/>
      <c r="BX56" s="35"/>
      <c r="BY56" s="35"/>
      <c r="BZ56" s="35"/>
      <c r="CA56" s="35"/>
      <c r="CB56" s="35"/>
      <c r="CC56" s="35"/>
      <c r="CD56" s="35"/>
      <c r="CE56" s="35"/>
      <c r="CF56" s="35"/>
      <c r="CG56" s="35"/>
      <c r="CH56" s="35"/>
      <c r="CI56" s="35"/>
      <c r="CJ56" s="35"/>
      <c r="CK56" s="35"/>
      <c r="CL56" s="35"/>
      <c r="CM56" s="35"/>
      <c r="CN56" s="35"/>
      <c r="CO56" s="35"/>
      <c r="CP56" s="35"/>
      <c r="CQ56" s="35"/>
      <c r="CR56" s="35"/>
      <c r="CS56" s="35"/>
      <c r="CT56" s="35"/>
      <c r="CU56" s="35"/>
      <c r="CV56" s="35"/>
      <c r="CW56" s="35"/>
      <c r="CX56" s="35"/>
      <c r="CY56" s="35"/>
      <c r="CZ56" s="35"/>
      <c r="DA56" s="35"/>
      <c r="DB56" s="35"/>
      <c r="DC56" s="35"/>
      <c r="DD56" s="35"/>
      <c r="DE56" s="35"/>
      <c r="DF56" s="35"/>
      <c r="DG56" s="35"/>
      <c r="DH56" s="35"/>
      <c r="DI56" s="35"/>
      <c r="DJ56" s="35"/>
      <c r="DK56" s="35"/>
      <c r="DL56" s="35"/>
      <c r="DM56" s="35"/>
      <c r="DN56" s="35"/>
      <c r="DO56" t="str">
        <f t="shared" si="4"/>
        <v/>
      </c>
    </row>
    <row r="57" spans="5:119" ht="18.95" customHeight="1" x14ac:dyDescent="0.25">
      <c r="E57" s="20"/>
      <c r="F57" s="20"/>
      <c r="G57" s="20"/>
      <c r="H57" s="20"/>
      <c r="K57" s="21"/>
      <c r="L57" t="str">
        <f t="shared" ca="1" si="7"/>
        <v/>
      </c>
      <c r="O57" s="31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5"/>
      <c r="BM57" s="35"/>
      <c r="BN57" s="35"/>
      <c r="BO57" s="35"/>
      <c r="BP57" s="35"/>
      <c r="BQ57" s="35"/>
      <c r="BR57" s="35"/>
      <c r="BS57" s="35"/>
      <c r="BT57" s="35"/>
      <c r="BU57" s="35"/>
      <c r="BV57" s="35"/>
      <c r="BW57" s="35"/>
      <c r="BX57" s="35"/>
      <c r="BY57" s="35"/>
      <c r="BZ57" s="35"/>
      <c r="CA57" s="35"/>
      <c r="CB57" s="35"/>
      <c r="CC57" s="35"/>
      <c r="CD57" s="35"/>
      <c r="CE57" s="35"/>
      <c r="CF57" s="35"/>
      <c r="CG57" s="35"/>
      <c r="CH57" s="35"/>
      <c r="CI57" s="35"/>
      <c r="CJ57" s="35"/>
      <c r="CK57" s="35"/>
      <c r="CL57" s="35"/>
      <c r="CM57" s="35"/>
      <c r="CN57" s="35"/>
      <c r="CO57" s="35"/>
      <c r="CP57" s="35"/>
      <c r="CQ57" s="35"/>
      <c r="CR57" s="35"/>
      <c r="CS57" s="35"/>
      <c r="CT57" s="35"/>
      <c r="CU57" s="35"/>
      <c r="CV57" s="35"/>
      <c r="CW57" s="35"/>
      <c r="CX57" s="35"/>
      <c r="CY57" s="35"/>
      <c r="CZ57" s="35"/>
      <c r="DA57" s="35"/>
      <c r="DB57" s="35"/>
      <c r="DC57" s="35"/>
      <c r="DD57" s="35"/>
      <c r="DE57" s="35"/>
      <c r="DF57" s="35"/>
      <c r="DG57" s="35"/>
      <c r="DH57" s="35"/>
      <c r="DI57" s="35"/>
      <c r="DJ57" s="35"/>
      <c r="DK57" s="35"/>
      <c r="DL57" s="35"/>
      <c r="DM57" s="35"/>
      <c r="DN57" s="35"/>
      <c r="DO57" t="str">
        <f t="shared" si="4"/>
        <v/>
      </c>
    </row>
    <row r="58" spans="5:119" ht="18.95" customHeight="1" x14ac:dyDescent="0.25">
      <c r="E58" s="20"/>
      <c r="F58" s="20"/>
      <c r="G58" s="20"/>
      <c r="H58" s="20"/>
      <c r="K58" s="21"/>
      <c r="L58" t="str">
        <f t="shared" ca="1" si="7"/>
        <v/>
      </c>
      <c r="O58" s="23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5"/>
      <c r="BM58" s="35"/>
      <c r="BN58" s="35"/>
      <c r="BO58" s="35"/>
      <c r="BP58" s="35"/>
      <c r="BQ58" s="35"/>
      <c r="BR58" s="35"/>
      <c r="BS58" s="35"/>
      <c r="BT58" s="35"/>
      <c r="BU58" s="35"/>
      <c r="BV58" s="35"/>
      <c r="BW58" s="35"/>
      <c r="BX58" s="35"/>
      <c r="BY58" s="35"/>
      <c r="BZ58" s="35"/>
      <c r="CA58" s="35"/>
      <c r="CB58" s="35"/>
      <c r="CC58" s="35"/>
      <c r="CD58" s="35"/>
      <c r="CE58" s="35"/>
      <c r="CF58" s="35"/>
      <c r="CG58" s="35"/>
      <c r="CH58" s="35"/>
      <c r="CI58" s="35"/>
      <c r="CJ58" s="35"/>
      <c r="CK58" s="35"/>
      <c r="CL58" s="35"/>
      <c r="CM58" s="35"/>
      <c r="CN58" s="35"/>
      <c r="CO58" s="35"/>
      <c r="CP58" s="35"/>
      <c r="CQ58" s="35"/>
      <c r="CR58" s="35"/>
      <c r="CS58" s="35"/>
      <c r="CT58" s="35"/>
      <c r="CU58" s="35"/>
      <c r="CV58" s="35"/>
      <c r="CW58" s="35"/>
      <c r="CX58" s="35"/>
      <c r="CY58" s="35"/>
      <c r="CZ58" s="35"/>
      <c r="DA58" s="35"/>
      <c r="DB58" s="35"/>
      <c r="DC58" s="35"/>
      <c r="DD58" s="35"/>
      <c r="DE58" s="35"/>
      <c r="DF58" s="35"/>
      <c r="DG58" s="35"/>
      <c r="DH58" s="35"/>
      <c r="DI58" s="35"/>
      <c r="DJ58" s="35"/>
      <c r="DK58" s="35"/>
      <c r="DL58" s="35"/>
      <c r="DM58" s="35"/>
      <c r="DN58" s="35"/>
      <c r="DO58" t="str">
        <f t="shared" si="4"/>
        <v/>
      </c>
    </row>
    <row r="59" spans="5:119" ht="18.95" customHeight="1" x14ac:dyDescent="0.25">
      <c r="E59" s="20"/>
      <c r="F59" s="20"/>
      <c r="G59" s="20"/>
      <c r="H59" s="20"/>
      <c r="K59" s="21"/>
      <c r="L59" t="str">
        <f t="shared" ca="1" si="7"/>
        <v/>
      </c>
      <c r="O59" s="31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5"/>
      <c r="BM59" s="35"/>
      <c r="BN59" s="35"/>
      <c r="BO59" s="35"/>
      <c r="BP59" s="35"/>
      <c r="BQ59" s="35"/>
      <c r="BR59" s="35"/>
      <c r="BS59" s="35"/>
      <c r="BT59" s="35"/>
      <c r="BU59" s="35"/>
      <c r="BV59" s="35"/>
      <c r="BW59" s="35"/>
      <c r="BX59" s="35"/>
      <c r="BY59" s="35"/>
      <c r="BZ59" s="35"/>
      <c r="CA59" s="35"/>
      <c r="CB59" s="35"/>
      <c r="CC59" s="35"/>
      <c r="CD59" s="35"/>
      <c r="CE59" s="35"/>
      <c r="CF59" s="35"/>
      <c r="CG59" s="35"/>
      <c r="CH59" s="35"/>
      <c r="CI59" s="35"/>
      <c r="CJ59" s="35"/>
      <c r="CK59" s="35"/>
      <c r="CL59" s="35"/>
      <c r="CM59" s="35"/>
      <c r="CN59" s="35"/>
      <c r="CO59" s="35"/>
      <c r="CP59" s="35"/>
      <c r="CQ59" s="35"/>
      <c r="CR59" s="35"/>
      <c r="CS59" s="35"/>
      <c r="CT59" s="35"/>
      <c r="CU59" s="35"/>
      <c r="CV59" s="35"/>
      <c r="CW59" s="35"/>
      <c r="CX59" s="35"/>
      <c r="CY59" s="35"/>
      <c r="CZ59" s="35"/>
      <c r="DA59" s="35"/>
      <c r="DB59" s="35"/>
      <c r="DC59" s="35"/>
      <c r="DD59" s="35"/>
      <c r="DE59" s="35"/>
      <c r="DF59" s="35"/>
      <c r="DG59" s="35"/>
      <c r="DH59" s="35"/>
      <c r="DI59" s="35"/>
      <c r="DJ59" s="35"/>
      <c r="DK59" s="35"/>
      <c r="DL59" s="35"/>
      <c r="DM59" s="35"/>
      <c r="DN59" s="35"/>
      <c r="DO59" t="str">
        <f t="shared" si="4"/>
        <v/>
      </c>
    </row>
    <row r="60" spans="5:119" ht="18.95" customHeight="1" x14ac:dyDescent="0.25">
      <c r="E60" s="20"/>
      <c r="F60" s="20"/>
      <c r="G60" s="20"/>
      <c r="H60" s="20"/>
      <c r="K60" s="21"/>
      <c r="L60" t="str">
        <f t="shared" ca="1" si="7"/>
        <v/>
      </c>
      <c r="O60" s="23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5"/>
      <c r="BM60" s="35"/>
      <c r="BN60" s="35"/>
      <c r="BO60" s="35"/>
      <c r="BP60" s="35"/>
      <c r="BQ60" s="35"/>
      <c r="BR60" s="35"/>
      <c r="BS60" s="35"/>
      <c r="BT60" s="35"/>
      <c r="BU60" s="35"/>
      <c r="BV60" s="35"/>
      <c r="BW60" s="35"/>
      <c r="BX60" s="35"/>
      <c r="BY60" s="35"/>
      <c r="BZ60" s="35"/>
      <c r="CA60" s="35"/>
      <c r="CB60" s="35"/>
      <c r="CC60" s="35"/>
      <c r="CD60" s="35"/>
      <c r="CE60" s="35"/>
      <c r="CF60" s="35"/>
      <c r="CG60" s="35"/>
      <c r="CH60" s="35"/>
      <c r="CI60" s="35"/>
      <c r="CJ60" s="35"/>
      <c r="CK60" s="35"/>
      <c r="CL60" s="35"/>
      <c r="CM60" s="35"/>
      <c r="CN60" s="35"/>
      <c r="CO60" s="35"/>
      <c r="CP60" s="35"/>
      <c r="CQ60" s="35"/>
      <c r="CR60" s="35"/>
      <c r="CS60" s="35"/>
      <c r="CT60" s="35"/>
      <c r="CU60" s="35"/>
      <c r="CV60" s="35"/>
      <c r="CW60" s="35"/>
      <c r="CX60" s="35"/>
      <c r="CY60" s="35"/>
      <c r="CZ60" s="35"/>
      <c r="DA60" s="35"/>
      <c r="DB60" s="35"/>
      <c r="DC60" s="35"/>
      <c r="DD60" s="35"/>
      <c r="DE60" s="35"/>
      <c r="DF60" s="35"/>
      <c r="DG60" s="35"/>
      <c r="DH60" s="35"/>
      <c r="DI60" s="35"/>
      <c r="DJ60" s="35"/>
      <c r="DK60" s="35"/>
      <c r="DL60" s="35"/>
      <c r="DM60" s="35"/>
      <c r="DN60" s="35"/>
      <c r="DO60" t="str">
        <f t="shared" si="4"/>
        <v/>
      </c>
    </row>
    <row r="61" spans="5:119" ht="18.95" customHeight="1" x14ac:dyDescent="0.25">
      <c r="E61" s="20"/>
      <c r="F61" s="20"/>
      <c r="G61" s="20"/>
      <c r="H61" s="20"/>
      <c r="K61" s="21"/>
      <c r="L61" t="str">
        <f t="shared" ca="1" si="7"/>
        <v/>
      </c>
      <c r="O61" s="31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5"/>
      <c r="BM61" s="35"/>
      <c r="BN61" s="35"/>
      <c r="BO61" s="35"/>
      <c r="BP61" s="35"/>
      <c r="BQ61" s="35"/>
      <c r="BR61" s="35"/>
      <c r="BS61" s="35"/>
      <c r="BT61" s="35"/>
      <c r="BU61" s="35"/>
      <c r="BV61" s="35"/>
      <c r="BW61" s="35"/>
      <c r="BX61" s="35"/>
      <c r="BY61" s="35"/>
      <c r="BZ61" s="35"/>
      <c r="CA61" s="35"/>
      <c r="CB61" s="35"/>
      <c r="CC61" s="35"/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5"/>
      <c r="CX61" s="35"/>
      <c r="CY61" s="35"/>
      <c r="CZ61" s="35"/>
      <c r="DA61" s="35"/>
      <c r="DB61" s="35"/>
      <c r="DC61" s="35"/>
      <c r="DD61" s="35"/>
      <c r="DE61" s="35"/>
      <c r="DF61" s="35"/>
      <c r="DG61" s="35"/>
      <c r="DH61" s="35"/>
      <c r="DI61" s="35"/>
      <c r="DJ61" s="35"/>
      <c r="DK61" s="35"/>
      <c r="DL61" s="35"/>
      <c r="DM61" s="35"/>
      <c r="DN61" s="35"/>
      <c r="DO61" t="str">
        <f t="shared" si="4"/>
        <v/>
      </c>
    </row>
    <row r="62" spans="5:119" ht="18.95" customHeight="1" x14ac:dyDescent="0.25">
      <c r="E62" s="20"/>
      <c r="F62" s="20"/>
      <c r="G62" s="20"/>
      <c r="H62" s="20"/>
      <c r="K62" s="21"/>
      <c r="L62" t="str">
        <f t="shared" ca="1" si="7"/>
        <v/>
      </c>
      <c r="O62" s="23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35"/>
      <c r="BU62" s="35"/>
      <c r="BV62" s="35"/>
      <c r="BW62" s="35"/>
      <c r="BX62" s="35"/>
      <c r="BY62" s="35"/>
      <c r="BZ62" s="35"/>
      <c r="CA62" s="35"/>
      <c r="CB62" s="35"/>
      <c r="CC62" s="35"/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5"/>
      <c r="CX62" s="35"/>
      <c r="CY62" s="35"/>
      <c r="CZ62" s="35"/>
      <c r="DA62" s="35"/>
      <c r="DB62" s="35"/>
      <c r="DC62" s="35"/>
      <c r="DD62" s="35"/>
      <c r="DE62" s="35"/>
      <c r="DF62" s="35"/>
      <c r="DG62" s="35"/>
      <c r="DH62" s="35"/>
      <c r="DI62" s="35"/>
      <c r="DJ62" s="35"/>
      <c r="DK62" s="35"/>
      <c r="DL62" s="35"/>
      <c r="DM62" s="35"/>
      <c r="DN62" s="35"/>
      <c r="DO62" t="str">
        <f t="shared" si="4"/>
        <v/>
      </c>
    </row>
    <row r="63" spans="5:119" ht="18.95" customHeight="1" x14ac:dyDescent="0.25">
      <c r="E63" s="20"/>
      <c r="F63" s="20"/>
      <c r="G63" s="20"/>
      <c r="H63" s="20"/>
      <c r="K63" s="21"/>
      <c r="L63" t="str">
        <f t="shared" ca="1" si="7"/>
        <v/>
      </c>
      <c r="O63" s="31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  <c r="DA63" s="35"/>
      <c r="DB63" s="35"/>
      <c r="DC63" s="35"/>
      <c r="DD63" s="35"/>
      <c r="DE63" s="35"/>
      <c r="DF63" s="35"/>
      <c r="DG63" s="35"/>
      <c r="DH63" s="35"/>
      <c r="DI63" s="35"/>
      <c r="DJ63" s="35"/>
      <c r="DK63" s="35"/>
      <c r="DL63" s="35"/>
      <c r="DM63" s="35"/>
      <c r="DN63" s="35"/>
      <c r="DO63" t="str">
        <f t="shared" si="4"/>
        <v/>
      </c>
    </row>
    <row r="64" spans="5:119" ht="18.95" customHeight="1" x14ac:dyDescent="0.25">
      <c r="E64" s="20"/>
      <c r="F64" s="20"/>
      <c r="G64" s="20"/>
      <c r="H64" s="20"/>
      <c r="K64" s="21"/>
      <c r="L64" t="str">
        <f t="shared" ca="1" si="7"/>
        <v/>
      </c>
      <c r="O64" s="23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5"/>
      <c r="BM64" s="35"/>
      <c r="BN64" s="35"/>
      <c r="BO64" s="35"/>
      <c r="BP64" s="35"/>
      <c r="BQ64" s="35"/>
      <c r="BR64" s="35"/>
      <c r="BS64" s="35"/>
      <c r="BT64" s="35"/>
      <c r="BU64" s="35"/>
      <c r="BV64" s="35"/>
      <c r="BW64" s="35"/>
      <c r="BX64" s="35"/>
      <c r="BY64" s="35"/>
      <c r="BZ64" s="35"/>
      <c r="CA64" s="35"/>
      <c r="CB64" s="35"/>
      <c r="CC64" s="35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5"/>
      <c r="CX64" s="35"/>
      <c r="CY64" s="35"/>
      <c r="CZ64" s="35"/>
      <c r="DA64" s="35"/>
      <c r="DB64" s="35"/>
      <c r="DC64" s="35"/>
      <c r="DD64" s="35"/>
      <c r="DE64" s="35"/>
      <c r="DF64" s="35"/>
      <c r="DG64" s="35"/>
      <c r="DH64" s="35"/>
      <c r="DI64" s="35"/>
      <c r="DJ64" s="35"/>
      <c r="DK64" s="35"/>
      <c r="DL64" s="35"/>
      <c r="DM64" s="35"/>
      <c r="DN64" s="35"/>
      <c r="DO64" t="str">
        <f t="shared" si="4"/>
        <v/>
      </c>
    </row>
    <row r="65" spans="5:119" ht="18.95" customHeight="1" x14ac:dyDescent="0.25">
      <c r="E65" s="20"/>
      <c r="F65" s="20"/>
      <c r="G65" s="20"/>
      <c r="H65" s="20"/>
      <c r="K65" s="21"/>
      <c r="L65" t="str">
        <f t="shared" ca="1" si="7"/>
        <v/>
      </c>
      <c r="O65" s="31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5"/>
      <c r="BM65" s="35"/>
      <c r="BN65" s="35"/>
      <c r="BO65" s="35"/>
      <c r="BP65" s="35"/>
      <c r="BQ65" s="35"/>
      <c r="BR65" s="35"/>
      <c r="BS65" s="35"/>
      <c r="BT65" s="35"/>
      <c r="BU65" s="35"/>
      <c r="BV65" s="35"/>
      <c r="BW65" s="35"/>
      <c r="BX65" s="35"/>
      <c r="BY65" s="35"/>
      <c r="BZ65" s="35"/>
      <c r="CA65" s="35"/>
      <c r="CB65" s="35"/>
      <c r="CC65" s="35"/>
      <c r="CD65" s="35"/>
      <c r="CE65" s="35"/>
      <c r="CF65" s="35"/>
      <c r="CG65" s="35"/>
      <c r="CH65" s="35"/>
      <c r="CI65" s="35"/>
      <c r="CJ65" s="35"/>
      <c r="CK65" s="35"/>
      <c r="CL65" s="35"/>
      <c r="CM65" s="35"/>
      <c r="CN65" s="35"/>
      <c r="CO65" s="35"/>
      <c r="CP65" s="35"/>
      <c r="CQ65" s="35"/>
      <c r="CR65" s="35"/>
      <c r="CS65" s="35"/>
      <c r="CT65" s="35"/>
      <c r="CU65" s="35"/>
      <c r="CV65" s="35"/>
      <c r="CW65" s="35"/>
      <c r="CX65" s="35"/>
      <c r="CY65" s="35"/>
      <c r="CZ65" s="35"/>
      <c r="DA65" s="35"/>
      <c r="DB65" s="35"/>
      <c r="DC65" s="35"/>
      <c r="DD65" s="35"/>
      <c r="DE65" s="35"/>
      <c r="DF65" s="35"/>
      <c r="DG65" s="35"/>
      <c r="DH65" s="35"/>
      <c r="DI65" s="35"/>
      <c r="DJ65" s="35"/>
      <c r="DK65" s="35"/>
      <c r="DL65" s="35"/>
      <c r="DM65" s="35"/>
      <c r="DN65" s="35"/>
      <c r="DO65" t="str">
        <f t="shared" si="4"/>
        <v/>
      </c>
    </row>
    <row r="66" spans="5:119" ht="18.95" customHeight="1" x14ac:dyDescent="0.25">
      <c r="E66" s="20"/>
      <c r="F66" s="20"/>
      <c r="G66" s="20"/>
      <c r="H66" s="20"/>
      <c r="K66" s="21"/>
      <c r="L66" t="str">
        <f t="shared" ca="1" si="7"/>
        <v/>
      </c>
      <c r="O66" s="23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35"/>
      <c r="BT66" s="35"/>
      <c r="BU66" s="35"/>
      <c r="BV66" s="35"/>
      <c r="BW66" s="35"/>
      <c r="BX66" s="35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5"/>
      <c r="CS66" s="35"/>
      <c r="CT66" s="35"/>
      <c r="CU66" s="35"/>
      <c r="CV66" s="35"/>
      <c r="CW66" s="35"/>
      <c r="CX66" s="35"/>
      <c r="CY66" s="35"/>
      <c r="CZ66" s="35"/>
      <c r="DA66" s="35"/>
      <c r="DB66" s="35"/>
      <c r="DC66" s="35"/>
      <c r="DD66" s="35"/>
      <c r="DE66" s="35"/>
      <c r="DF66" s="35"/>
      <c r="DG66" s="35"/>
      <c r="DH66" s="35"/>
      <c r="DI66" s="35"/>
      <c r="DJ66" s="35"/>
      <c r="DK66" s="35"/>
      <c r="DL66" s="35"/>
      <c r="DM66" s="35"/>
      <c r="DN66" s="35"/>
      <c r="DO66" t="str">
        <f t="shared" si="4"/>
        <v/>
      </c>
    </row>
    <row r="67" spans="5:119" ht="18.95" customHeight="1" x14ac:dyDescent="0.25">
      <c r="E67" s="20"/>
      <c r="F67" s="20"/>
      <c r="G67" s="20"/>
      <c r="H67" s="20"/>
      <c r="K67" s="21"/>
      <c r="L67" t="str">
        <f t="shared" ca="1" si="7"/>
        <v/>
      </c>
      <c r="O67" s="31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5"/>
      <c r="BM67" s="35"/>
      <c r="BN67" s="35"/>
      <c r="BO67" s="35"/>
      <c r="BP67" s="35"/>
      <c r="BQ67" s="35"/>
      <c r="BR67" s="35"/>
      <c r="BS67" s="35"/>
      <c r="BT67" s="35"/>
      <c r="BU67" s="35"/>
      <c r="BV67" s="35"/>
      <c r="BW67" s="35"/>
      <c r="BX67" s="35"/>
      <c r="BY67" s="35"/>
      <c r="BZ67" s="35"/>
      <c r="CA67" s="35"/>
      <c r="CB67" s="35"/>
      <c r="CC67" s="35"/>
      <c r="CD67" s="35"/>
      <c r="CE67" s="35"/>
      <c r="CF67" s="35"/>
      <c r="CG67" s="35"/>
      <c r="CH67" s="35"/>
      <c r="CI67" s="35"/>
      <c r="CJ67" s="35"/>
      <c r="CK67" s="35"/>
      <c r="CL67" s="35"/>
      <c r="CM67" s="35"/>
      <c r="CN67" s="35"/>
      <c r="CO67" s="35"/>
      <c r="CP67" s="35"/>
      <c r="CQ67" s="35"/>
      <c r="CR67" s="35"/>
      <c r="CS67" s="35"/>
      <c r="CT67" s="35"/>
      <c r="CU67" s="35"/>
      <c r="CV67" s="35"/>
      <c r="CW67" s="35"/>
      <c r="CX67" s="35"/>
      <c r="CY67" s="35"/>
      <c r="CZ67" s="35"/>
      <c r="DA67" s="35"/>
      <c r="DB67" s="35"/>
      <c r="DC67" s="35"/>
      <c r="DD67" s="35"/>
      <c r="DE67" s="35"/>
      <c r="DF67" s="35"/>
      <c r="DG67" s="35"/>
      <c r="DH67" s="35"/>
      <c r="DI67" s="35"/>
      <c r="DJ67" s="35"/>
      <c r="DK67" s="35"/>
      <c r="DL67" s="35"/>
      <c r="DM67" s="35"/>
      <c r="DN67" s="35"/>
      <c r="DO67" t="str">
        <f t="shared" si="4"/>
        <v/>
      </c>
    </row>
    <row r="68" spans="5:119" ht="18.95" customHeight="1" x14ac:dyDescent="0.25">
      <c r="E68" s="20"/>
      <c r="F68" s="20"/>
      <c r="G68" s="20"/>
      <c r="H68" s="20"/>
      <c r="K68" s="21"/>
      <c r="L68" t="str">
        <f t="shared" ca="1" si="7"/>
        <v/>
      </c>
      <c r="O68" s="23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5"/>
      <c r="BM68" s="35"/>
      <c r="BN68" s="35"/>
      <c r="BO68" s="35"/>
      <c r="BP68" s="35"/>
      <c r="BQ68" s="35"/>
      <c r="BR68" s="35"/>
      <c r="BS68" s="35"/>
      <c r="BT68" s="35"/>
      <c r="BU68" s="35"/>
      <c r="BV68" s="35"/>
      <c r="BW68" s="35"/>
      <c r="BX68" s="35"/>
      <c r="BY68" s="35"/>
      <c r="BZ68" s="35"/>
      <c r="CA68" s="35"/>
      <c r="CB68" s="35"/>
      <c r="CC68" s="35"/>
      <c r="CD68" s="35"/>
      <c r="CE68" s="35"/>
      <c r="CF68" s="35"/>
      <c r="CG68" s="35"/>
      <c r="CH68" s="35"/>
      <c r="CI68" s="35"/>
      <c r="CJ68" s="35"/>
      <c r="CK68" s="35"/>
      <c r="CL68" s="35"/>
      <c r="CM68" s="35"/>
      <c r="CN68" s="35"/>
      <c r="CO68" s="35"/>
      <c r="CP68" s="35"/>
      <c r="CQ68" s="35"/>
      <c r="CR68" s="35"/>
      <c r="CS68" s="35"/>
      <c r="CT68" s="35"/>
      <c r="CU68" s="35"/>
      <c r="CV68" s="35"/>
      <c r="CW68" s="35"/>
      <c r="CX68" s="35"/>
      <c r="CY68" s="35"/>
      <c r="CZ68" s="35"/>
      <c r="DA68" s="35"/>
      <c r="DB68" s="35"/>
      <c r="DC68" s="35"/>
      <c r="DD68" s="35"/>
      <c r="DE68" s="35"/>
      <c r="DF68" s="35"/>
      <c r="DG68" s="35"/>
      <c r="DH68" s="35"/>
      <c r="DI68" s="35"/>
      <c r="DJ68" s="35"/>
      <c r="DK68" s="35"/>
      <c r="DL68" s="35"/>
      <c r="DM68" s="35"/>
      <c r="DN68" s="35"/>
      <c r="DO68" t="str">
        <f t="shared" si="4"/>
        <v/>
      </c>
    </row>
    <row r="69" spans="5:119" ht="18.95" customHeight="1" x14ac:dyDescent="0.25">
      <c r="E69" s="20"/>
      <c r="F69" s="20"/>
      <c r="G69" s="20"/>
      <c r="H69" s="20"/>
      <c r="K69" s="21"/>
      <c r="L69" t="str">
        <f t="shared" ca="1" si="7"/>
        <v/>
      </c>
      <c r="O69" s="31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5"/>
      <c r="BM69" s="35"/>
      <c r="BN69" s="35"/>
      <c r="BO69" s="35"/>
      <c r="BP69" s="35"/>
      <c r="BQ69" s="35"/>
      <c r="BR69" s="35"/>
      <c r="BS69" s="35"/>
      <c r="BT69" s="35"/>
      <c r="BU69" s="35"/>
      <c r="BV69" s="35"/>
      <c r="BW69" s="35"/>
      <c r="BX69" s="35"/>
      <c r="BY69" s="35"/>
      <c r="BZ69" s="35"/>
      <c r="CA69" s="35"/>
      <c r="CB69" s="35"/>
      <c r="CC69" s="35"/>
      <c r="CD69" s="35"/>
      <c r="CE69" s="35"/>
      <c r="CF69" s="35"/>
      <c r="CG69" s="35"/>
      <c r="CH69" s="35"/>
      <c r="CI69" s="35"/>
      <c r="CJ69" s="35"/>
      <c r="CK69" s="35"/>
      <c r="CL69" s="35"/>
      <c r="CM69" s="35"/>
      <c r="CN69" s="35"/>
      <c r="CO69" s="35"/>
      <c r="CP69" s="35"/>
      <c r="CQ69" s="35"/>
      <c r="CR69" s="35"/>
      <c r="CS69" s="35"/>
      <c r="CT69" s="35"/>
      <c r="CU69" s="35"/>
      <c r="CV69" s="35"/>
      <c r="CW69" s="35"/>
      <c r="CX69" s="35"/>
      <c r="CY69" s="35"/>
      <c r="CZ69" s="35"/>
      <c r="DA69" s="35"/>
      <c r="DB69" s="35"/>
      <c r="DC69" s="35"/>
      <c r="DD69" s="35"/>
      <c r="DE69" s="35"/>
      <c r="DF69" s="35"/>
      <c r="DG69" s="35"/>
      <c r="DH69" s="35"/>
      <c r="DI69" s="35"/>
      <c r="DJ69" s="35"/>
      <c r="DK69" s="35"/>
      <c r="DL69" s="35"/>
      <c r="DM69" s="35"/>
      <c r="DN69" s="35"/>
      <c r="DO69" t="str">
        <f t="shared" si="4"/>
        <v/>
      </c>
    </row>
    <row r="70" spans="5:119" ht="18.95" customHeight="1" x14ac:dyDescent="0.25">
      <c r="E70" s="20"/>
      <c r="F70" s="20"/>
      <c r="G70" s="20"/>
      <c r="H70" s="20"/>
      <c r="K70" s="21"/>
      <c r="L70" t="str">
        <f t="shared" ca="1" si="7"/>
        <v/>
      </c>
      <c r="O70" s="23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  <c r="DA70" s="35"/>
      <c r="DB70" s="35"/>
      <c r="DC70" s="35"/>
      <c r="DD70" s="35"/>
      <c r="DE70" s="35"/>
      <c r="DF70" s="35"/>
      <c r="DG70" s="35"/>
      <c r="DH70" s="35"/>
      <c r="DI70" s="35"/>
      <c r="DJ70" s="35"/>
      <c r="DK70" s="35"/>
      <c r="DL70" s="35"/>
      <c r="DM70" s="35"/>
      <c r="DN70" s="35"/>
      <c r="DO70" t="str">
        <f t="shared" si="4"/>
        <v/>
      </c>
    </row>
    <row r="71" spans="5:119" ht="18.95" customHeight="1" x14ac:dyDescent="0.25">
      <c r="E71" s="20"/>
      <c r="F71" s="20"/>
      <c r="G71" s="20"/>
      <c r="H71" s="20"/>
      <c r="K71" s="21"/>
      <c r="L71" t="str">
        <f t="shared" ca="1" si="7"/>
        <v/>
      </c>
      <c r="O71" s="31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/>
      <c r="BX71" s="35"/>
      <c r="BY71" s="35"/>
      <c r="BZ71" s="35"/>
      <c r="CA71" s="35"/>
      <c r="CB71" s="35"/>
      <c r="CC71" s="35"/>
      <c r="CD71" s="35"/>
      <c r="CE71" s="35"/>
      <c r="CF71" s="35"/>
      <c r="CG71" s="35"/>
      <c r="CH71" s="35"/>
      <c r="CI71" s="35"/>
      <c r="CJ71" s="35"/>
      <c r="CK71" s="35"/>
      <c r="CL71" s="35"/>
      <c r="CM71" s="35"/>
      <c r="CN71" s="35"/>
      <c r="CO71" s="35"/>
      <c r="CP71" s="35"/>
      <c r="CQ71" s="35"/>
      <c r="CR71" s="35"/>
      <c r="CS71" s="35"/>
      <c r="CT71" s="35"/>
      <c r="CU71" s="35"/>
      <c r="CV71" s="35"/>
      <c r="CW71" s="35"/>
      <c r="CX71" s="35"/>
      <c r="CY71" s="35"/>
      <c r="CZ71" s="35"/>
      <c r="DA71" s="35"/>
      <c r="DB71" s="35"/>
      <c r="DC71" s="35"/>
      <c r="DD71" s="35"/>
      <c r="DE71" s="35"/>
      <c r="DF71" s="35"/>
      <c r="DG71" s="35"/>
      <c r="DH71" s="35"/>
      <c r="DI71" s="35"/>
      <c r="DJ71" s="35"/>
      <c r="DK71" s="35"/>
      <c r="DL71" s="35"/>
      <c r="DM71" s="35"/>
      <c r="DN71" s="35"/>
      <c r="DO71" t="str">
        <f t="shared" si="4"/>
        <v/>
      </c>
    </row>
    <row r="72" spans="5:119" ht="18.95" customHeight="1" x14ac:dyDescent="0.25">
      <c r="E72" s="20"/>
      <c r="F72" s="20"/>
      <c r="G72" s="20"/>
      <c r="H72" s="20"/>
      <c r="K72" s="21"/>
      <c r="L72" t="str">
        <f t="shared" ca="1" si="7"/>
        <v/>
      </c>
      <c r="O72" s="23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5"/>
      <c r="BY72" s="35"/>
      <c r="BZ72" s="35"/>
      <c r="CA72" s="35"/>
      <c r="CB72" s="35"/>
      <c r="CC72" s="35"/>
      <c r="CD72" s="35"/>
      <c r="CE72" s="35"/>
      <c r="CF72" s="35"/>
      <c r="CG72" s="35"/>
      <c r="CH72" s="35"/>
      <c r="CI72" s="35"/>
      <c r="CJ72" s="35"/>
      <c r="CK72" s="35"/>
      <c r="CL72" s="35"/>
      <c r="CM72" s="35"/>
      <c r="CN72" s="35"/>
      <c r="CO72" s="35"/>
      <c r="CP72" s="35"/>
      <c r="CQ72" s="35"/>
      <c r="CR72" s="35"/>
      <c r="CS72" s="35"/>
      <c r="CT72" s="35"/>
      <c r="CU72" s="35"/>
      <c r="CV72" s="35"/>
      <c r="CW72" s="35"/>
      <c r="CX72" s="35"/>
      <c r="CY72" s="35"/>
      <c r="CZ72" s="35"/>
      <c r="DA72" s="35"/>
      <c r="DB72" s="35"/>
      <c r="DC72" s="35"/>
      <c r="DD72" s="35"/>
      <c r="DE72" s="35"/>
      <c r="DF72" s="35"/>
      <c r="DG72" s="35"/>
      <c r="DH72" s="35"/>
      <c r="DI72" s="35"/>
      <c r="DJ72" s="35"/>
      <c r="DK72" s="35"/>
      <c r="DL72" s="35"/>
      <c r="DM72" s="35"/>
      <c r="DN72" s="35"/>
      <c r="DO72" t="str">
        <f t="shared" si="4"/>
        <v/>
      </c>
    </row>
    <row r="73" spans="5:119" ht="18.95" customHeight="1" x14ac:dyDescent="0.25">
      <c r="E73" s="20"/>
      <c r="F73" s="20"/>
      <c r="G73" s="20"/>
      <c r="H73" s="20"/>
      <c r="K73" s="21"/>
      <c r="L73" t="str">
        <f t="shared" ca="1" si="7"/>
        <v/>
      </c>
      <c r="O73" s="31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35"/>
      <c r="BY73" s="35"/>
      <c r="BZ73" s="35"/>
      <c r="CA73" s="35"/>
      <c r="CB73" s="35"/>
      <c r="CC73" s="35"/>
      <c r="CD73" s="35"/>
      <c r="CE73" s="35"/>
      <c r="CF73" s="35"/>
      <c r="CG73" s="35"/>
      <c r="CH73" s="35"/>
      <c r="CI73" s="35"/>
      <c r="CJ73" s="35"/>
      <c r="CK73" s="35"/>
      <c r="CL73" s="35"/>
      <c r="CM73" s="35"/>
      <c r="CN73" s="35"/>
      <c r="CO73" s="35"/>
      <c r="CP73" s="35"/>
      <c r="CQ73" s="35"/>
      <c r="CR73" s="35"/>
      <c r="CS73" s="35"/>
      <c r="CT73" s="35"/>
      <c r="CU73" s="35"/>
      <c r="CV73" s="35"/>
      <c r="CW73" s="35"/>
      <c r="CX73" s="35"/>
      <c r="CY73" s="35"/>
      <c r="CZ73" s="35"/>
      <c r="DA73" s="35"/>
      <c r="DB73" s="35"/>
      <c r="DC73" s="35"/>
      <c r="DD73" s="35"/>
      <c r="DE73" s="35"/>
      <c r="DF73" s="35"/>
      <c r="DG73" s="35"/>
      <c r="DH73" s="35"/>
      <c r="DI73" s="35"/>
      <c r="DJ73" s="35"/>
      <c r="DK73" s="35"/>
      <c r="DL73" s="35"/>
      <c r="DM73" s="35"/>
      <c r="DN73" s="35"/>
      <c r="DO73" t="str">
        <f t="shared" si="4"/>
        <v/>
      </c>
    </row>
    <row r="74" spans="5:119" ht="18.95" customHeight="1" x14ac:dyDescent="0.25">
      <c r="E74" s="20"/>
      <c r="F74" s="20"/>
      <c r="G74" s="20"/>
      <c r="H74" s="20"/>
      <c r="K74" s="21"/>
      <c r="L74" t="str">
        <f t="shared" ca="1" si="7"/>
        <v/>
      </c>
      <c r="O74" s="23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5"/>
      <c r="BM74" s="35"/>
      <c r="BN74" s="35"/>
      <c r="BO74" s="35"/>
      <c r="BP74" s="35"/>
      <c r="BQ74" s="35"/>
      <c r="BR74" s="35"/>
      <c r="BS74" s="35"/>
      <c r="BT74" s="35"/>
      <c r="BU74" s="35"/>
      <c r="BV74" s="35"/>
      <c r="BW74" s="35"/>
      <c r="BX74" s="35"/>
      <c r="BY74" s="35"/>
      <c r="BZ74" s="35"/>
      <c r="CA74" s="35"/>
      <c r="CB74" s="35"/>
      <c r="CC74" s="35"/>
      <c r="CD74" s="35"/>
      <c r="CE74" s="35"/>
      <c r="CF74" s="35"/>
      <c r="CG74" s="35"/>
      <c r="CH74" s="35"/>
      <c r="CI74" s="35"/>
      <c r="CJ74" s="35"/>
      <c r="CK74" s="35"/>
      <c r="CL74" s="35"/>
      <c r="CM74" s="35"/>
      <c r="CN74" s="35"/>
      <c r="CO74" s="35"/>
      <c r="CP74" s="35"/>
      <c r="CQ74" s="35"/>
      <c r="CR74" s="35"/>
      <c r="CS74" s="35"/>
      <c r="CT74" s="35"/>
      <c r="CU74" s="35"/>
      <c r="CV74" s="35"/>
      <c r="CW74" s="35"/>
      <c r="CX74" s="35"/>
      <c r="CY74" s="35"/>
      <c r="CZ74" s="35"/>
      <c r="DA74" s="35"/>
      <c r="DB74" s="35"/>
      <c r="DC74" s="35"/>
      <c r="DD74" s="35"/>
      <c r="DE74" s="35"/>
      <c r="DF74" s="35"/>
      <c r="DG74" s="35"/>
      <c r="DH74" s="35"/>
      <c r="DI74" s="35"/>
      <c r="DJ74" s="35"/>
      <c r="DK74" s="35"/>
      <c r="DL74" s="35"/>
      <c r="DM74" s="35"/>
      <c r="DN74" s="35"/>
      <c r="DO74" t="str">
        <f t="shared" si="4"/>
        <v/>
      </c>
    </row>
    <row r="75" spans="5:119" ht="18.95" customHeight="1" x14ac:dyDescent="0.25">
      <c r="E75" s="20"/>
      <c r="F75" s="20"/>
      <c r="G75" s="20"/>
      <c r="H75" s="20"/>
      <c r="K75" s="21"/>
      <c r="L75" t="str">
        <f t="shared" ca="1" si="7"/>
        <v/>
      </c>
      <c r="O75" s="31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5"/>
      <c r="CP75" s="35"/>
      <c r="CQ75" s="35"/>
      <c r="CR75" s="35"/>
      <c r="CS75" s="35"/>
      <c r="CT75" s="35"/>
      <c r="CU75" s="35"/>
      <c r="CV75" s="35"/>
      <c r="CW75" s="35"/>
      <c r="CX75" s="35"/>
      <c r="CY75" s="35"/>
      <c r="CZ75" s="35"/>
      <c r="DA75" s="35"/>
      <c r="DB75" s="35"/>
      <c r="DC75" s="35"/>
      <c r="DD75" s="35"/>
      <c r="DE75" s="35"/>
      <c r="DF75" s="35"/>
      <c r="DG75" s="35"/>
      <c r="DH75" s="35"/>
      <c r="DI75" s="35"/>
      <c r="DJ75" s="35"/>
      <c r="DK75" s="35"/>
      <c r="DL75" s="35"/>
      <c r="DM75" s="35"/>
      <c r="DN75" s="35"/>
      <c r="DO75" t="str">
        <f t="shared" si="4"/>
        <v/>
      </c>
    </row>
    <row r="76" spans="5:119" ht="18.95" customHeight="1" x14ac:dyDescent="0.25">
      <c r="E76" s="20"/>
      <c r="F76" s="20"/>
      <c r="G76" s="20"/>
      <c r="H76" s="20"/>
      <c r="K76" s="21"/>
      <c r="L76" t="str">
        <f t="shared" ca="1" si="7"/>
        <v/>
      </c>
      <c r="O76" s="23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5"/>
      <c r="BM76" s="35"/>
      <c r="BN76" s="35"/>
      <c r="BO76" s="35"/>
      <c r="BP76" s="35"/>
      <c r="BQ76" s="35"/>
      <c r="BR76" s="35"/>
      <c r="BS76" s="35"/>
      <c r="BT76" s="35"/>
      <c r="BU76" s="35"/>
      <c r="BV76" s="35"/>
      <c r="BW76" s="35"/>
      <c r="BX76" s="35"/>
      <c r="BY76" s="35"/>
      <c r="BZ76" s="35"/>
      <c r="CA76" s="35"/>
      <c r="CB76" s="35"/>
      <c r="CC76" s="35"/>
      <c r="CD76" s="35"/>
      <c r="CE76" s="35"/>
      <c r="CF76" s="35"/>
      <c r="CG76" s="35"/>
      <c r="CH76" s="35"/>
      <c r="CI76" s="35"/>
      <c r="CJ76" s="35"/>
      <c r="CK76" s="35"/>
      <c r="CL76" s="35"/>
      <c r="CM76" s="35"/>
      <c r="CN76" s="35"/>
      <c r="CO76" s="35"/>
      <c r="CP76" s="35"/>
      <c r="CQ76" s="35"/>
      <c r="CR76" s="35"/>
      <c r="CS76" s="35"/>
      <c r="CT76" s="35"/>
      <c r="CU76" s="35"/>
      <c r="CV76" s="35"/>
      <c r="CW76" s="35"/>
      <c r="CX76" s="35"/>
      <c r="CY76" s="35"/>
      <c r="CZ76" s="35"/>
      <c r="DA76" s="35"/>
      <c r="DB76" s="35"/>
      <c r="DC76" s="35"/>
      <c r="DD76" s="35"/>
      <c r="DE76" s="35"/>
      <c r="DF76" s="35"/>
      <c r="DG76" s="35"/>
      <c r="DH76" s="35"/>
      <c r="DI76" s="35"/>
      <c r="DJ76" s="35"/>
      <c r="DK76" s="35"/>
      <c r="DL76" s="35"/>
      <c r="DM76" s="35"/>
      <c r="DN76" s="35"/>
      <c r="DO76" t="str">
        <f t="shared" si="4"/>
        <v/>
      </c>
    </row>
    <row r="77" spans="5:119" ht="18.95" customHeight="1" x14ac:dyDescent="0.25">
      <c r="E77" s="20"/>
      <c r="F77" s="20"/>
      <c r="G77" s="20"/>
      <c r="H77" s="20"/>
      <c r="K77" s="21"/>
      <c r="L77" t="str">
        <f t="shared" ca="1" si="7"/>
        <v/>
      </c>
      <c r="O77" s="31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5"/>
      <c r="BM77" s="35"/>
      <c r="BN77" s="35"/>
      <c r="BO77" s="35"/>
      <c r="BP77" s="35"/>
      <c r="BQ77" s="35"/>
      <c r="BR77" s="35"/>
      <c r="BS77" s="35"/>
      <c r="BT77" s="35"/>
      <c r="BU77" s="35"/>
      <c r="BV77" s="35"/>
      <c r="BW77" s="35"/>
      <c r="BX77" s="35"/>
      <c r="BY77" s="35"/>
      <c r="BZ77" s="35"/>
      <c r="CA77" s="35"/>
      <c r="CB77" s="35"/>
      <c r="CC77" s="35"/>
      <c r="CD77" s="35"/>
      <c r="CE77" s="35"/>
      <c r="CF77" s="35"/>
      <c r="CG77" s="35"/>
      <c r="CH77" s="35"/>
      <c r="CI77" s="35"/>
      <c r="CJ77" s="35"/>
      <c r="CK77" s="35"/>
      <c r="CL77" s="35"/>
      <c r="CM77" s="35"/>
      <c r="CN77" s="35"/>
      <c r="CO77" s="35"/>
      <c r="CP77" s="35"/>
      <c r="CQ77" s="35"/>
      <c r="CR77" s="35"/>
      <c r="CS77" s="35"/>
      <c r="CT77" s="35"/>
      <c r="CU77" s="35"/>
      <c r="CV77" s="35"/>
      <c r="CW77" s="35"/>
      <c r="CX77" s="35"/>
      <c r="CY77" s="35"/>
      <c r="CZ77" s="35"/>
      <c r="DA77" s="35"/>
      <c r="DB77" s="35"/>
      <c r="DC77" s="35"/>
      <c r="DD77" s="35"/>
      <c r="DE77" s="35"/>
      <c r="DF77" s="35"/>
      <c r="DG77" s="35"/>
      <c r="DH77" s="35"/>
      <c r="DI77" s="35"/>
      <c r="DJ77" s="35"/>
      <c r="DK77" s="35"/>
      <c r="DL77" s="35"/>
      <c r="DM77" s="35"/>
      <c r="DN77" s="35"/>
      <c r="DO77" t="str">
        <f t="shared" si="4"/>
        <v/>
      </c>
    </row>
    <row r="78" spans="5:119" ht="18.95" customHeight="1" x14ac:dyDescent="0.25">
      <c r="E78" s="20"/>
      <c r="F78" s="20"/>
      <c r="G78" s="20"/>
      <c r="H78" s="20"/>
      <c r="K78" s="21"/>
      <c r="L78" t="str">
        <f t="shared" ca="1" si="7"/>
        <v/>
      </c>
      <c r="O78" s="23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5"/>
      <c r="BM78" s="35"/>
      <c r="BN78" s="35"/>
      <c r="BO78" s="35"/>
      <c r="BP78" s="35"/>
      <c r="BQ78" s="35"/>
      <c r="BR78" s="35"/>
      <c r="BS78" s="35"/>
      <c r="BT78" s="35"/>
      <c r="BU78" s="35"/>
      <c r="BV78" s="35"/>
      <c r="BW78" s="35"/>
      <c r="BX78" s="35"/>
      <c r="BY78" s="35"/>
      <c r="BZ78" s="35"/>
      <c r="CA78" s="35"/>
      <c r="CB78" s="35"/>
      <c r="CC78" s="35"/>
      <c r="CD78" s="35"/>
      <c r="CE78" s="35"/>
      <c r="CF78" s="35"/>
      <c r="CG78" s="35"/>
      <c r="CH78" s="35"/>
      <c r="CI78" s="35"/>
      <c r="CJ78" s="35"/>
      <c r="CK78" s="35"/>
      <c r="CL78" s="35"/>
      <c r="CM78" s="35"/>
      <c r="CN78" s="35"/>
      <c r="CO78" s="35"/>
      <c r="CP78" s="35"/>
      <c r="CQ78" s="35"/>
      <c r="CR78" s="35"/>
      <c r="CS78" s="35"/>
      <c r="CT78" s="35"/>
      <c r="CU78" s="35"/>
      <c r="CV78" s="35"/>
      <c r="CW78" s="35"/>
      <c r="CX78" s="35"/>
      <c r="CY78" s="35"/>
      <c r="CZ78" s="35"/>
      <c r="DA78" s="35"/>
      <c r="DB78" s="35"/>
      <c r="DC78" s="35"/>
      <c r="DD78" s="35"/>
      <c r="DE78" s="35"/>
      <c r="DF78" s="35"/>
      <c r="DG78" s="35"/>
      <c r="DH78" s="35"/>
      <c r="DI78" s="35"/>
      <c r="DJ78" s="35"/>
      <c r="DK78" s="35"/>
      <c r="DL78" s="35"/>
      <c r="DM78" s="35"/>
      <c r="DN78" s="35"/>
      <c r="DO78" t="str">
        <f t="shared" si="4"/>
        <v/>
      </c>
    </row>
    <row r="79" spans="5:119" ht="18.95" customHeight="1" x14ac:dyDescent="0.25">
      <c r="E79" s="20"/>
      <c r="F79" s="20"/>
      <c r="G79" s="20"/>
      <c r="H79" s="20"/>
      <c r="K79" s="21"/>
      <c r="L79" t="str">
        <f t="shared" ca="1" si="7"/>
        <v/>
      </c>
      <c r="O79" s="31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5"/>
      <c r="BM79" s="35"/>
      <c r="BN79" s="35"/>
      <c r="BO79" s="35"/>
      <c r="BP79" s="35"/>
      <c r="BQ79" s="35"/>
      <c r="BR79" s="35"/>
      <c r="BS79" s="35"/>
      <c r="BT79" s="35"/>
      <c r="BU79" s="35"/>
      <c r="BV79" s="35"/>
      <c r="BW79" s="35"/>
      <c r="BX79" s="35"/>
      <c r="BY79" s="35"/>
      <c r="BZ79" s="35"/>
      <c r="CA79" s="35"/>
      <c r="CB79" s="35"/>
      <c r="CC79" s="35"/>
      <c r="CD79" s="35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5"/>
      <c r="CP79" s="35"/>
      <c r="CQ79" s="35"/>
      <c r="CR79" s="35"/>
      <c r="CS79" s="35"/>
      <c r="CT79" s="35"/>
      <c r="CU79" s="35"/>
      <c r="CV79" s="35"/>
      <c r="CW79" s="35"/>
      <c r="CX79" s="35"/>
      <c r="CY79" s="35"/>
      <c r="CZ79" s="35"/>
      <c r="DA79" s="35"/>
      <c r="DB79" s="35"/>
      <c r="DC79" s="35"/>
      <c r="DD79" s="35"/>
      <c r="DE79" s="35"/>
      <c r="DF79" s="35"/>
      <c r="DG79" s="35"/>
      <c r="DH79" s="35"/>
      <c r="DI79" s="35"/>
      <c r="DJ79" s="35"/>
      <c r="DK79" s="35"/>
      <c r="DL79" s="35"/>
      <c r="DM79" s="35"/>
      <c r="DN79" s="35"/>
      <c r="DO79" t="str">
        <f t="shared" ref="DO79:DO96" si="8">IF(C79="","",IF(L79="Complete",1,0))</f>
        <v/>
      </c>
    </row>
    <row r="80" spans="5:119" ht="18.95" customHeight="1" x14ac:dyDescent="0.25">
      <c r="E80" s="20"/>
      <c r="F80" s="20"/>
      <c r="G80" s="20"/>
      <c r="H80" s="20"/>
      <c r="K80" s="21"/>
      <c r="L80" t="str">
        <f t="shared" ca="1" si="7"/>
        <v/>
      </c>
      <c r="O80" s="23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5"/>
      <c r="BM80" s="35"/>
      <c r="BN80" s="35"/>
      <c r="BO80" s="35"/>
      <c r="BP80" s="35"/>
      <c r="BQ80" s="35"/>
      <c r="BR80" s="35"/>
      <c r="BS80" s="35"/>
      <c r="BT80" s="35"/>
      <c r="BU80" s="35"/>
      <c r="BV80" s="35"/>
      <c r="BW80" s="35"/>
      <c r="BX80" s="35"/>
      <c r="BY80" s="35"/>
      <c r="BZ80" s="35"/>
      <c r="CA80" s="35"/>
      <c r="CB80" s="35"/>
      <c r="CC80" s="35"/>
      <c r="CD80" s="35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5"/>
      <c r="CP80" s="35"/>
      <c r="CQ80" s="35"/>
      <c r="CR80" s="35"/>
      <c r="CS80" s="35"/>
      <c r="CT80" s="35"/>
      <c r="CU80" s="35"/>
      <c r="CV80" s="35"/>
      <c r="CW80" s="35"/>
      <c r="CX80" s="35"/>
      <c r="CY80" s="35"/>
      <c r="CZ80" s="35"/>
      <c r="DA80" s="35"/>
      <c r="DB80" s="35"/>
      <c r="DC80" s="35"/>
      <c r="DD80" s="35"/>
      <c r="DE80" s="35"/>
      <c r="DF80" s="35"/>
      <c r="DG80" s="35"/>
      <c r="DH80" s="35"/>
      <c r="DI80" s="35"/>
      <c r="DJ80" s="35"/>
      <c r="DK80" s="35"/>
      <c r="DL80" s="35"/>
      <c r="DM80" s="35"/>
      <c r="DN80" s="35"/>
      <c r="DO80" t="str">
        <f t="shared" si="8"/>
        <v/>
      </c>
    </row>
    <row r="81" spans="5:119" ht="18.95" customHeight="1" x14ac:dyDescent="0.25">
      <c r="E81" s="20"/>
      <c r="F81" s="20"/>
      <c r="G81" s="20"/>
      <c r="H81" s="20"/>
      <c r="K81" s="21"/>
      <c r="L81" t="str">
        <f t="shared" ca="1" si="7"/>
        <v/>
      </c>
      <c r="O81" s="31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5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5"/>
      <c r="CP81" s="35"/>
      <c r="CQ81" s="35"/>
      <c r="CR81" s="35"/>
      <c r="CS81" s="35"/>
      <c r="CT81" s="35"/>
      <c r="CU81" s="35"/>
      <c r="CV81" s="35"/>
      <c r="CW81" s="35"/>
      <c r="CX81" s="35"/>
      <c r="CY81" s="35"/>
      <c r="CZ81" s="35"/>
      <c r="DA81" s="35"/>
      <c r="DB81" s="35"/>
      <c r="DC81" s="35"/>
      <c r="DD81" s="35"/>
      <c r="DE81" s="35"/>
      <c r="DF81" s="35"/>
      <c r="DG81" s="35"/>
      <c r="DH81" s="35"/>
      <c r="DI81" s="35"/>
      <c r="DJ81" s="35"/>
      <c r="DK81" s="35"/>
      <c r="DL81" s="35"/>
      <c r="DM81" s="35"/>
      <c r="DN81" s="35"/>
      <c r="DO81" t="str">
        <f t="shared" si="8"/>
        <v/>
      </c>
    </row>
    <row r="82" spans="5:119" ht="18.95" customHeight="1" x14ac:dyDescent="0.25">
      <c r="E82" s="20"/>
      <c r="F82" s="20"/>
      <c r="G82" s="20"/>
      <c r="H82" s="20"/>
      <c r="K82" s="21"/>
      <c r="L82" t="str">
        <f t="shared" ca="1" si="7"/>
        <v/>
      </c>
      <c r="O82" s="23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5"/>
      <c r="BZ82" s="35"/>
      <c r="CA82" s="35"/>
      <c r="CB82" s="35"/>
      <c r="CC82" s="35"/>
      <c r="CD82" s="35"/>
      <c r="CE82" s="35"/>
      <c r="CF82" s="35"/>
      <c r="CG82" s="35"/>
      <c r="CH82" s="35"/>
      <c r="CI82" s="35"/>
      <c r="CJ82" s="35"/>
      <c r="CK82" s="35"/>
      <c r="CL82" s="35"/>
      <c r="CM82" s="35"/>
      <c r="CN82" s="35"/>
      <c r="CO82" s="35"/>
      <c r="CP82" s="35"/>
      <c r="CQ82" s="35"/>
      <c r="CR82" s="35"/>
      <c r="CS82" s="35"/>
      <c r="CT82" s="35"/>
      <c r="CU82" s="35"/>
      <c r="CV82" s="35"/>
      <c r="CW82" s="35"/>
      <c r="CX82" s="35"/>
      <c r="CY82" s="35"/>
      <c r="CZ82" s="35"/>
      <c r="DA82" s="35"/>
      <c r="DB82" s="35"/>
      <c r="DC82" s="35"/>
      <c r="DD82" s="35"/>
      <c r="DE82" s="35"/>
      <c r="DF82" s="35"/>
      <c r="DG82" s="35"/>
      <c r="DH82" s="35"/>
      <c r="DI82" s="35"/>
      <c r="DJ82" s="35"/>
      <c r="DK82" s="35"/>
      <c r="DL82" s="35"/>
      <c r="DM82" s="35"/>
      <c r="DN82" s="35"/>
      <c r="DO82" t="str">
        <f t="shared" si="8"/>
        <v/>
      </c>
    </row>
    <row r="83" spans="5:119" ht="18.95" customHeight="1" x14ac:dyDescent="0.25">
      <c r="E83" s="20"/>
      <c r="F83" s="20"/>
      <c r="G83" s="20"/>
      <c r="H83" s="20"/>
      <c r="K83" s="21"/>
      <c r="L83" t="str">
        <f t="shared" ca="1" si="7"/>
        <v/>
      </c>
      <c r="O83" s="31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5"/>
      <c r="BM83" s="35"/>
      <c r="BN83" s="35"/>
      <c r="BO83" s="35"/>
      <c r="BP83" s="35"/>
      <c r="BQ83" s="35"/>
      <c r="BR83" s="35"/>
      <c r="BS83" s="35"/>
      <c r="BT83" s="35"/>
      <c r="BU83" s="35"/>
      <c r="BV83" s="35"/>
      <c r="BW83" s="35"/>
      <c r="BX83" s="35"/>
      <c r="BY83" s="35"/>
      <c r="BZ83" s="35"/>
      <c r="CA83" s="35"/>
      <c r="CB83" s="35"/>
      <c r="CC83" s="35"/>
      <c r="CD83" s="35"/>
      <c r="CE83" s="35"/>
      <c r="CF83" s="35"/>
      <c r="CG83" s="35"/>
      <c r="CH83" s="35"/>
      <c r="CI83" s="35"/>
      <c r="CJ83" s="35"/>
      <c r="CK83" s="35"/>
      <c r="CL83" s="35"/>
      <c r="CM83" s="35"/>
      <c r="CN83" s="35"/>
      <c r="CO83" s="35"/>
      <c r="CP83" s="35"/>
      <c r="CQ83" s="35"/>
      <c r="CR83" s="35"/>
      <c r="CS83" s="35"/>
      <c r="CT83" s="35"/>
      <c r="CU83" s="35"/>
      <c r="CV83" s="35"/>
      <c r="CW83" s="35"/>
      <c r="CX83" s="35"/>
      <c r="CY83" s="35"/>
      <c r="CZ83" s="35"/>
      <c r="DA83" s="35"/>
      <c r="DB83" s="35"/>
      <c r="DC83" s="35"/>
      <c r="DD83" s="35"/>
      <c r="DE83" s="35"/>
      <c r="DF83" s="35"/>
      <c r="DG83" s="35"/>
      <c r="DH83" s="35"/>
      <c r="DI83" s="35"/>
      <c r="DJ83" s="35"/>
      <c r="DK83" s="35"/>
      <c r="DL83" s="35"/>
      <c r="DM83" s="35"/>
      <c r="DN83" s="35"/>
      <c r="DO83" t="str">
        <f t="shared" si="8"/>
        <v/>
      </c>
    </row>
    <row r="84" spans="5:119" ht="18.95" customHeight="1" x14ac:dyDescent="0.25">
      <c r="E84" s="20"/>
      <c r="F84" s="20"/>
      <c r="G84" s="20"/>
      <c r="H84" s="20"/>
      <c r="K84" s="21"/>
      <c r="L84" t="str">
        <f t="shared" ca="1" si="7"/>
        <v/>
      </c>
      <c r="O84" s="23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  <c r="BU84" s="35"/>
      <c r="BV84" s="35"/>
      <c r="BW84" s="35"/>
      <c r="BX84" s="35"/>
      <c r="BY84" s="35"/>
      <c r="BZ84" s="35"/>
      <c r="CA84" s="35"/>
      <c r="CB84" s="35"/>
      <c r="CC84" s="35"/>
      <c r="CD84" s="35"/>
      <c r="CE84" s="35"/>
      <c r="CF84" s="35"/>
      <c r="CG84" s="35"/>
      <c r="CH84" s="35"/>
      <c r="CI84" s="35"/>
      <c r="CJ84" s="35"/>
      <c r="CK84" s="35"/>
      <c r="CL84" s="35"/>
      <c r="CM84" s="35"/>
      <c r="CN84" s="35"/>
      <c r="CO84" s="35"/>
      <c r="CP84" s="35"/>
      <c r="CQ84" s="35"/>
      <c r="CR84" s="35"/>
      <c r="CS84" s="35"/>
      <c r="CT84" s="35"/>
      <c r="CU84" s="35"/>
      <c r="CV84" s="35"/>
      <c r="CW84" s="35"/>
      <c r="CX84" s="35"/>
      <c r="CY84" s="35"/>
      <c r="CZ84" s="35"/>
      <c r="DA84" s="35"/>
      <c r="DB84" s="35"/>
      <c r="DC84" s="35"/>
      <c r="DD84" s="35"/>
      <c r="DE84" s="35"/>
      <c r="DF84" s="35"/>
      <c r="DG84" s="35"/>
      <c r="DH84" s="35"/>
      <c r="DI84" s="35"/>
      <c r="DJ84" s="35"/>
      <c r="DK84" s="35"/>
      <c r="DL84" s="35"/>
      <c r="DM84" s="35"/>
      <c r="DN84" s="35"/>
      <c r="DO84" t="str">
        <f t="shared" si="8"/>
        <v/>
      </c>
    </row>
    <row r="85" spans="5:119" ht="18.95" customHeight="1" x14ac:dyDescent="0.25">
      <c r="E85" s="20"/>
      <c r="F85" s="20"/>
      <c r="G85" s="20"/>
      <c r="H85" s="20"/>
      <c r="K85" s="21"/>
      <c r="L85" t="str">
        <f t="shared" ca="1" si="7"/>
        <v/>
      </c>
      <c r="O85" s="31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5"/>
      <c r="BM85" s="35"/>
      <c r="BN85" s="35"/>
      <c r="BO85" s="35"/>
      <c r="BP85" s="35"/>
      <c r="BQ85" s="35"/>
      <c r="BR85" s="35"/>
      <c r="BS85" s="35"/>
      <c r="BT85" s="35"/>
      <c r="BU85" s="35"/>
      <c r="BV85" s="35"/>
      <c r="BW85" s="35"/>
      <c r="BX85" s="35"/>
      <c r="BY85" s="35"/>
      <c r="BZ85" s="35"/>
      <c r="CA85" s="35"/>
      <c r="CB85" s="35"/>
      <c r="CC85" s="35"/>
      <c r="CD85" s="35"/>
      <c r="CE85" s="35"/>
      <c r="CF85" s="35"/>
      <c r="CG85" s="35"/>
      <c r="CH85" s="35"/>
      <c r="CI85" s="35"/>
      <c r="CJ85" s="35"/>
      <c r="CK85" s="35"/>
      <c r="CL85" s="35"/>
      <c r="CM85" s="35"/>
      <c r="CN85" s="35"/>
      <c r="CO85" s="35"/>
      <c r="CP85" s="35"/>
      <c r="CQ85" s="35"/>
      <c r="CR85" s="35"/>
      <c r="CS85" s="35"/>
      <c r="CT85" s="35"/>
      <c r="CU85" s="35"/>
      <c r="CV85" s="35"/>
      <c r="CW85" s="35"/>
      <c r="CX85" s="35"/>
      <c r="CY85" s="35"/>
      <c r="CZ85" s="35"/>
      <c r="DA85" s="35"/>
      <c r="DB85" s="35"/>
      <c r="DC85" s="35"/>
      <c r="DD85" s="35"/>
      <c r="DE85" s="35"/>
      <c r="DF85" s="35"/>
      <c r="DG85" s="35"/>
      <c r="DH85" s="35"/>
      <c r="DI85" s="35"/>
      <c r="DJ85" s="35"/>
      <c r="DK85" s="35"/>
      <c r="DL85" s="35"/>
      <c r="DM85" s="35"/>
      <c r="DN85" s="35"/>
      <c r="DO85" t="str">
        <f t="shared" si="8"/>
        <v/>
      </c>
    </row>
    <row r="86" spans="5:119" ht="18.95" customHeight="1" x14ac:dyDescent="0.25">
      <c r="E86" s="20"/>
      <c r="F86" s="20"/>
      <c r="G86" s="20"/>
      <c r="H86" s="20"/>
      <c r="K86" s="21"/>
      <c r="L86" t="str">
        <f t="shared" ca="1" si="7"/>
        <v/>
      </c>
      <c r="O86" s="23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5"/>
      <c r="BM86" s="35"/>
      <c r="BN86" s="35"/>
      <c r="BO86" s="35"/>
      <c r="BP86" s="35"/>
      <c r="BQ86" s="35"/>
      <c r="BR86" s="35"/>
      <c r="BS86" s="35"/>
      <c r="BT86" s="35"/>
      <c r="BU86" s="35"/>
      <c r="BV86" s="35"/>
      <c r="BW86" s="35"/>
      <c r="BX86" s="35"/>
      <c r="BY86" s="35"/>
      <c r="BZ86" s="35"/>
      <c r="CA86" s="35"/>
      <c r="CB86" s="35"/>
      <c r="CC86" s="35"/>
      <c r="CD86" s="35"/>
      <c r="CE86" s="35"/>
      <c r="CF86" s="35"/>
      <c r="CG86" s="35"/>
      <c r="CH86" s="35"/>
      <c r="CI86" s="35"/>
      <c r="CJ86" s="35"/>
      <c r="CK86" s="35"/>
      <c r="CL86" s="35"/>
      <c r="CM86" s="35"/>
      <c r="CN86" s="35"/>
      <c r="CO86" s="35"/>
      <c r="CP86" s="35"/>
      <c r="CQ86" s="35"/>
      <c r="CR86" s="35"/>
      <c r="CS86" s="35"/>
      <c r="CT86" s="35"/>
      <c r="CU86" s="35"/>
      <c r="CV86" s="35"/>
      <c r="CW86" s="35"/>
      <c r="CX86" s="35"/>
      <c r="CY86" s="35"/>
      <c r="CZ86" s="35"/>
      <c r="DA86" s="35"/>
      <c r="DB86" s="35"/>
      <c r="DC86" s="35"/>
      <c r="DD86" s="35"/>
      <c r="DE86" s="35"/>
      <c r="DF86" s="35"/>
      <c r="DG86" s="35"/>
      <c r="DH86" s="35"/>
      <c r="DI86" s="35"/>
      <c r="DJ86" s="35"/>
      <c r="DK86" s="35"/>
      <c r="DL86" s="35"/>
      <c r="DM86" s="35"/>
      <c r="DN86" s="35"/>
      <c r="DO86" t="str">
        <f t="shared" si="8"/>
        <v/>
      </c>
    </row>
    <row r="87" spans="5:119" ht="18.95" customHeight="1" x14ac:dyDescent="0.25">
      <c r="E87" s="20"/>
      <c r="F87" s="20"/>
      <c r="G87" s="20"/>
      <c r="H87" s="20"/>
      <c r="K87" s="21"/>
      <c r="L87" t="str">
        <f t="shared" ca="1" si="7"/>
        <v/>
      </c>
      <c r="O87" s="31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5"/>
      <c r="BM87" s="35"/>
      <c r="BN87" s="35"/>
      <c r="BO87" s="35"/>
      <c r="BP87" s="35"/>
      <c r="BQ87" s="35"/>
      <c r="BR87" s="35"/>
      <c r="BS87" s="35"/>
      <c r="BT87" s="35"/>
      <c r="BU87" s="35"/>
      <c r="BV87" s="35"/>
      <c r="BW87" s="35"/>
      <c r="BX87" s="35"/>
      <c r="BY87" s="35"/>
      <c r="BZ87" s="35"/>
      <c r="CA87" s="35"/>
      <c r="CB87" s="35"/>
      <c r="CC87" s="35"/>
      <c r="CD87" s="35"/>
      <c r="CE87" s="35"/>
      <c r="CF87" s="35"/>
      <c r="CG87" s="35"/>
      <c r="CH87" s="35"/>
      <c r="CI87" s="35"/>
      <c r="CJ87" s="35"/>
      <c r="CK87" s="35"/>
      <c r="CL87" s="35"/>
      <c r="CM87" s="35"/>
      <c r="CN87" s="35"/>
      <c r="CO87" s="35"/>
      <c r="CP87" s="35"/>
      <c r="CQ87" s="35"/>
      <c r="CR87" s="35"/>
      <c r="CS87" s="35"/>
      <c r="CT87" s="35"/>
      <c r="CU87" s="35"/>
      <c r="CV87" s="35"/>
      <c r="CW87" s="35"/>
      <c r="CX87" s="35"/>
      <c r="CY87" s="35"/>
      <c r="CZ87" s="35"/>
      <c r="DA87" s="35"/>
      <c r="DB87" s="35"/>
      <c r="DC87" s="35"/>
      <c r="DD87" s="35"/>
      <c r="DE87" s="35"/>
      <c r="DF87" s="35"/>
      <c r="DG87" s="35"/>
      <c r="DH87" s="35"/>
      <c r="DI87" s="35"/>
      <c r="DJ87" s="35"/>
      <c r="DK87" s="35"/>
      <c r="DL87" s="35"/>
      <c r="DM87" s="35"/>
      <c r="DN87" s="35"/>
      <c r="DO87" t="str">
        <f t="shared" si="8"/>
        <v/>
      </c>
    </row>
    <row r="88" spans="5:119" ht="18.95" customHeight="1" x14ac:dyDescent="0.25">
      <c r="E88" s="20"/>
      <c r="F88" s="20"/>
      <c r="G88" s="20"/>
      <c r="H88" s="20"/>
      <c r="K88" s="21"/>
      <c r="L88" t="str">
        <f t="shared" ca="1" si="7"/>
        <v/>
      </c>
      <c r="O88" s="23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  <c r="BU88" s="35"/>
      <c r="BV88" s="35"/>
      <c r="BW88" s="35"/>
      <c r="BX88" s="35"/>
      <c r="BY88" s="35"/>
      <c r="BZ88" s="35"/>
      <c r="CA88" s="35"/>
      <c r="CB88" s="35"/>
      <c r="CC88" s="35"/>
      <c r="CD88" s="35"/>
      <c r="CE88" s="35"/>
      <c r="CF88" s="35"/>
      <c r="CG88" s="35"/>
      <c r="CH88" s="35"/>
      <c r="CI88" s="35"/>
      <c r="CJ88" s="35"/>
      <c r="CK88" s="35"/>
      <c r="CL88" s="35"/>
      <c r="CM88" s="35"/>
      <c r="CN88" s="35"/>
      <c r="CO88" s="35"/>
      <c r="CP88" s="35"/>
      <c r="CQ88" s="35"/>
      <c r="CR88" s="35"/>
      <c r="CS88" s="35"/>
      <c r="CT88" s="35"/>
      <c r="CU88" s="35"/>
      <c r="CV88" s="35"/>
      <c r="CW88" s="35"/>
      <c r="CX88" s="35"/>
      <c r="CY88" s="35"/>
      <c r="CZ88" s="35"/>
      <c r="DA88" s="35"/>
      <c r="DB88" s="35"/>
      <c r="DC88" s="35"/>
      <c r="DD88" s="35"/>
      <c r="DE88" s="35"/>
      <c r="DF88" s="35"/>
      <c r="DG88" s="35"/>
      <c r="DH88" s="35"/>
      <c r="DI88" s="35"/>
      <c r="DJ88" s="35"/>
      <c r="DK88" s="35"/>
      <c r="DL88" s="35"/>
      <c r="DM88" s="35"/>
      <c r="DN88" s="35"/>
      <c r="DO88" t="str">
        <f t="shared" si="8"/>
        <v/>
      </c>
    </row>
    <row r="89" spans="5:119" ht="18.95" customHeight="1" x14ac:dyDescent="0.25">
      <c r="E89" s="20"/>
      <c r="F89" s="20"/>
      <c r="G89" s="20"/>
      <c r="H89" s="20"/>
      <c r="K89" s="21"/>
      <c r="L89" t="str">
        <f t="shared" ca="1" si="7"/>
        <v/>
      </c>
      <c r="O89" s="31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  <c r="BU89" s="35"/>
      <c r="BV89" s="35"/>
      <c r="BW89" s="35"/>
      <c r="BX89" s="35"/>
      <c r="BY89" s="35"/>
      <c r="BZ89" s="35"/>
      <c r="CA89" s="35"/>
      <c r="CB89" s="35"/>
      <c r="CC89" s="35"/>
      <c r="CD89" s="35"/>
      <c r="CE89" s="35"/>
      <c r="CF89" s="35"/>
      <c r="CG89" s="35"/>
      <c r="CH89" s="35"/>
      <c r="CI89" s="35"/>
      <c r="CJ89" s="35"/>
      <c r="CK89" s="35"/>
      <c r="CL89" s="35"/>
      <c r="CM89" s="35"/>
      <c r="CN89" s="35"/>
      <c r="CO89" s="35"/>
      <c r="CP89" s="35"/>
      <c r="CQ89" s="35"/>
      <c r="CR89" s="35"/>
      <c r="CS89" s="35"/>
      <c r="CT89" s="35"/>
      <c r="CU89" s="35"/>
      <c r="CV89" s="35"/>
      <c r="CW89" s="35"/>
      <c r="CX89" s="35"/>
      <c r="CY89" s="35"/>
      <c r="CZ89" s="35"/>
      <c r="DA89" s="35"/>
      <c r="DB89" s="35"/>
      <c r="DC89" s="35"/>
      <c r="DD89" s="35"/>
      <c r="DE89" s="35"/>
      <c r="DF89" s="35"/>
      <c r="DG89" s="35"/>
      <c r="DH89" s="35"/>
      <c r="DI89" s="35"/>
      <c r="DJ89" s="35"/>
      <c r="DK89" s="35"/>
      <c r="DL89" s="35"/>
      <c r="DM89" s="35"/>
      <c r="DN89" s="35"/>
      <c r="DO89" t="str">
        <f t="shared" si="8"/>
        <v/>
      </c>
    </row>
    <row r="90" spans="5:119" ht="18.95" customHeight="1" x14ac:dyDescent="0.25">
      <c r="E90" s="20"/>
      <c r="F90" s="20"/>
      <c r="G90" s="20"/>
      <c r="H90" s="20"/>
      <c r="K90" s="21"/>
      <c r="L90" t="str">
        <f t="shared" ca="1" si="7"/>
        <v/>
      </c>
      <c r="O90" s="23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5"/>
      <c r="BZ90" s="35"/>
      <c r="CA90" s="35"/>
      <c r="CB90" s="35"/>
      <c r="CC90" s="35"/>
      <c r="CD90" s="35"/>
      <c r="CE90" s="35"/>
      <c r="CF90" s="35"/>
      <c r="CG90" s="35"/>
      <c r="CH90" s="35"/>
      <c r="CI90" s="35"/>
      <c r="CJ90" s="35"/>
      <c r="CK90" s="35"/>
      <c r="CL90" s="35"/>
      <c r="CM90" s="35"/>
      <c r="CN90" s="35"/>
      <c r="CO90" s="35"/>
      <c r="CP90" s="35"/>
      <c r="CQ90" s="35"/>
      <c r="CR90" s="35"/>
      <c r="CS90" s="35"/>
      <c r="CT90" s="35"/>
      <c r="CU90" s="35"/>
      <c r="CV90" s="35"/>
      <c r="CW90" s="35"/>
      <c r="CX90" s="35"/>
      <c r="CY90" s="35"/>
      <c r="CZ90" s="35"/>
      <c r="DA90" s="35"/>
      <c r="DB90" s="35"/>
      <c r="DC90" s="35"/>
      <c r="DD90" s="35"/>
      <c r="DE90" s="35"/>
      <c r="DF90" s="35"/>
      <c r="DG90" s="35"/>
      <c r="DH90" s="35"/>
      <c r="DI90" s="35"/>
      <c r="DJ90" s="35"/>
      <c r="DK90" s="35"/>
      <c r="DL90" s="35"/>
      <c r="DM90" s="35"/>
      <c r="DN90" s="35"/>
      <c r="DO90" t="str">
        <f t="shared" si="8"/>
        <v/>
      </c>
    </row>
    <row r="91" spans="5:119" ht="18.95" customHeight="1" x14ac:dyDescent="0.25">
      <c r="E91" s="20"/>
      <c r="F91" s="20"/>
      <c r="G91" s="20"/>
      <c r="H91" s="20"/>
      <c r="K91" s="21"/>
      <c r="L91" t="str">
        <f t="shared" ca="1" si="7"/>
        <v/>
      </c>
      <c r="O91" s="31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35"/>
      <c r="BT91" s="35"/>
      <c r="BU91" s="35"/>
      <c r="BV91" s="35"/>
      <c r="BW91" s="35"/>
      <c r="BX91" s="35"/>
      <c r="BY91" s="35"/>
      <c r="BZ91" s="35"/>
      <c r="CA91" s="35"/>
      <c r="CB91" s="35"/>
      <c r="CC91" s="35"/>
      <c r="CD91" s="35"/>
      <c r="CE91" s="35"/>
      <c r="CF91" s="35"/>
      <c r="CG91" s="35"/>
      <c r="CH91" s="35"/>
      <c r="CI91" s="35"/>
      <c r="CJ91" s="35"/>
      <c r="CK91" s="35"/>
      <c r="CL91" s="35"/>
      <c r="CM91" s="35"/>
      <c r="CN91" s="35"/>
      <c r="CO91" s="35"/>
      <c r="CP91" s="35"/>
      <c r="CQ91" s="35"/>
      <c r="CR91" s="35"/>
      <c r="CS91" s="35"/>
      <c r="CT91" s="35"/>
      <c r="CU91" s="35"/>
      <c r="CV91" s="35"/>
      <c r="CW91" s="35"/>
      <c r="CX91" s="35"/>
      <c r="CY91" s="35"/>
      <c r="CZ91" s="35"/>
      <c r="DA91" s="35"/>
      <c r="DB91" s="35"/>
      <c r="DC91" s="35"/>
      <c r="DD91" s="35"/>
      <c r="DE91" s="35"/>
      <c r="DF91" s="35"/>
      <c r="DG91" s="35"/>
      <c r="DH91" s="35"/>
      <c r="DI91" s="35"/>
      <c r="DJ91" s="35"/>
      <c r="DK91" s="35"/>
      <c r="DL91" s="35"/>
      <c r="DM91" s="35"/>
      <c r="DN91" s="35"/>
      <c r="DO91" t="str">
        <f t="shared" si="8"/>
        <v/>
      </c>
    </row>
    <row r="92" spans="5:119" ht="18.95" customHeight="1" x14ac:dyDescent="0.25">
      <c r="E92" s="20"/>
      <c r="F92" s="20"/>
      <c r="G92" s="20"/>
      <c r="H92" s="20"/>
      <c r="K92" s="21"/>
      <c r="L92" t="str">
        <f t="shared" ca="1" si="7"/>
        <v/>
      </c>
      <c r="O92" s="23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5"/>
      <c r="BM92" s="35"/>
      <c r="BN92" s="35"/>
      <c r="BO92" s="35"/>
      <c r="BP92" s="35"/>
      <c r="BQ92" s="35"/>
      <c r="BR92" s="35"/>
      <c r="BS92" s="35"/>
      <c r="BT92" s="35"/>
      <c r="BU92" s="35"/>
      <c r="BV92" s="35"/>
      <c r="BW92" s="35"/>
      <c r="BX92" s="35"/>
      <c r="BY92" s="35"/>
      <c r="BZ92" s="35"/>
      <c r="CA92" s="35"/>
      <c r="CB92" s="35"/>
      <c r="CC92" s="35"/>
      <c r="CD92" s="35"/>
      <c r="CE92" s="35"/>
      <c r="CF92" s="35"/>
      <c r="CG92" s="35"/>
      <c r="CH92" s="35"/>
      <c r="CI92" s="35"/>
      <c r="CJ92" s="35"/>
      <c r="CK92" s="35"/>
      <c r="CL92" s="35"/>
      <c r="CM92" s="35"/>
      <c r="CN92" s="35"/>
      <c r="CO92" s="35"/>
      <c r="CP92" s="35"/>
      <c r="CQ92" s="35"/>
      <c r="CR92" s="35"/>
      <c r="CS92" s="35"/>
      <c r="CT92" s="35"/>
      <c r="CU92" s="35"/>
      <c r="CV92" s="35"/>
      <c r="CW92" s="35"/>
      <c r="CX92" s="35"/>
      <c r="CY92" s="35"/>
      <c r="CZ92" s="35"/>
      <c r="DA92" s="35"/>
      <c r="DB92" s="35"/>
      <c r="DC92" s="35"/>
      <c r="DD92" s="35"/>
      <c r="DE92" s="35"/>
      <c r="DF92" s="35"/>
      <c r="DG92" s="35"/>
      <c r="DH92" s="35"/>
      <c r="DI92" s="35"/>
      <c r="DJ92" s="35"/>
      <c r="DK92" s="35"/>
      <c r="DL92" s="35"/>
      <c r="DM92" s="35"/>
      <c r="DN92" s="35"/>
      <c r="DO92" t="str">
        <f t="shared" si="8"/>
        <v/>
      </c>
    </row>
    <row r="93" spans="5:119" ht="18.95" customHeight="1" x14ac:dyDescent="0.25">
      <c r="E93" s="20"/>
      <c r="F93" s="20"/>
      <c r="G93" s="20"/>
      <c r="H93" s="20"/>
      <c r="K93" s="21"/>
      <c r="L93" t="str">
        <f t="shared" ca="1" si="7"/>
        <v/>
      </c>
      <c r="O93" s="31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5"/>
      <c r="BM93" s="35"/>
      <c r="BN93" s="35"/>
      <c r="BO93" s="35"/>
      <c r="BP93" s="35"/>
      <c r="BQ93" s="35"/>
      <c r="BR93" s="35"/>
      <c r="BS93" s="35"/>
      <c r="BT93" s="35"/>
      <c r="BU93" s="35"/>
      <c r="BV93" s="35"/>
      <c r="BW93" s="35"/>
      <c r="BX93" s="35"/>
      <c r="BY93" s="35"/>
      <c r="BZ93" s="35"/>
      <c r="CA93" s="35"/>
      <c r="CB93" s="35"/>
      <c r="CC93" s="35"/>
      <c r="CD93" s="35"/>
      <c r="CE93" s="35"/>
      <c r="CF93" s="35"/>
      <c r="CG93" s="35"/>
      <c r="CH93" s="35"/>
      <c r="CI93" s="35"/>
      <c r="CJ93" s="35"/>
      <c r="CK93" s="35"/>
      <c r="CL93" s="35"/>
      <c r="CM93" s="35"/>
      <c r="CN93" s="35"/>
      <c r="CO93" s="35"/>
      <c r="CP93" s="35"/>
      <c r="CQ93" s="35"/>
      <c r="CR93" s="35"/>
      <c r="CS93" s="35"/>
      <c r="CT93" s="35"/>
      <c r="CU93" s="35"/>
      <c r="CV93" s="35"/>
      <c r="CW93" s="35"/>
      <c r="CX93" s="35"/>
      <c r="CY93" s="35"/>
      <c r="CZ93" s="35"/>
      <c r="DA93" s="35"/>
      <c r="DB93" s="35"/>
      <c r="DC93" s="35"/>
      <c r="DD93" s="35"/>
      <c r="DE93" s="35"/>
      <c r="DF93" s="35"/>
      <c r="DG93" s="35"/>
      <c r="DH93" s="35"/>
      <c r="DI93" s="35"/>
      <c r="DJ93" s="35"/>
      <c r="DK93" s="35"/>
      <c r="DL93" s="35"/>
      <c r="DM93" s="35"/>
      <c r="DN93" s="35"/>
      <c r="DO93" t="str">
        <f t="shared" si="8"/>
        <v/>
      </c>
    </row>
    <row r="94" spans="5:119" ht="18.95" customHeight="1" x14ac:dyDescent="0.25">
      <c r="E94" s="20"/>
      <c r="F94" s="20"/>
      <c r="G94" s="20"/>
      <c r="H94" s="20"/>
      <c r="K94" s="21"/>
      <c r="L94" t="str">
        <f t="shared" ca="1" si="7"/>
        <v/>
      </c>
      <c r="O94" s="23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5"/>
      <c r="BC94" s="35"/>
      <c r="BD94" s="35"/>
      <c r="BE94" s="35"/>
      <c r="BF94" s="35"/>
      <c r="BG94" s="35"/>
      <c r="BH94" s="35"/>
      <c r="BI94" s="35"/>
      <c r="BJ94" s="35"/>
      <c r="BK94" s="35"/>
      <c r="BL94" s="35"/>
      <c r="BM94" s="35"/>
      <c r="BN94" s="35"/>
      <c r="BO94" s="35"/>
      <c r="BP94" s="35"/>
      <c r="BQ94" s="35"/>
      <c r="BR94" s="35"/>
      <c r="BS94" s="35"/>
      <c r="BT94" s="35"/>
      <c r="BU94" s="35"/>
      <c r="BV94" s="35"/>
      <c r="BW94" s="35"/>
      <c r="BX94" s="35"/>
      <c r="BY94" s="35"/>
      <c r="BZ94" s="35"/>
      <c r="CA94" s="35"/>
      <c r="CB94" s="35"/>
      <c r="CC94" s="35"/>
      <c r="CD94" s="35"/>
      <c r="CE94" s="35"/>
      <c r="CF94" s="35"/>
      <c r="CG94" s="35"/>
      <c r="CH94" s="35"/>
      <c r="CI94" s="35"/>
      <c r="CJ94" s="35"/>
      <c r="CK94" s="35"/>
      <c r="CL94" s="35"/>
      <c r="CM94" s="35"/>
      <c r="CN94" s="35"/>
      <c r="CO94" s="35"/>
      <c r="CP94" s="35"/>
      <c r="CQ94" s="35"/>
      <c r="CR94" s="35"/>
      <c r="CS94" s="35"/>
      <c r="CT94" s="35"/>
      <c r="CU94" s="35"/>
      <c r="CV94" s="35"/>
      <c r="CW94" s="35"/>
      <c r="CX94" s="35"/>
      <c r="CY94" s="35"/>
      <c r="CZ94" s="35"/>
      <c r="DA94" s="35"/>
      <c r="DB94" s="35"/>
      <c r="DC94" s="35"/>
      <c r="DD94" s="35"/>
      <c r="DE94" s="35"/>
      <c r="DF94" s="35"/>
      <c r="DG94" s="35"/>
      <c r="DH94" s="35"/>
      <c r="DI94" s="35"/>
      <c r="DJ94" s="35"/>
      <c r="DK94" s="35"/>
      <c r="DL94" s="35"/>
      <c r="DM94" s="35"/>
      <c r="DN94" s="35"/>
      <c r="DO94" t="str">
        <f t="shared" si="8"/>
        <v/>
      </c>
    </row>
    <row r="95" spans="5:119" ht="18.95" customHeight="1" x14ac:dyDescent="0.25">
      <c r="E95" s="20"/>
      <c r="F95" s="20"/>
      <c r="G95" s="20"/>
      <c r="H95" s="20"/>
      <c r="K95" s="21"/>
      <c r="L95" t="str">
        <f t="shared" ca="1" si="7"/>
        <v/>
      </c>
      <c r="O95" s="31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5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5"/>
      <c r="CR95" s="35"/>
      <c r="CS95" s="35"/>
      <c r="CT95" s="35"/>
      <c r="CU95" s="35"/>
      <c r="CV95" s="35"/>
      <c r="CW95" s="35"/>
      <c r="CX95" s="35"/>
      <c r="CY95" s="35"/>
      <c r="CZ95" s="35"/>
      <c r="DA95" s="35"/>
      <c r="DB95" s="35"/>
      <c r="DC95" s="35"/>
      <c r="DD95" s="35"/>
      <c r="DE95" s="35"/>
      <c r="DF95" s="35"/>
      <c r="DG95" s="35"/>
      <c r="DH95" s="35"/>
      <c r="DI95" s="35"/>
      <c r="DJ95" s="35"/>
      <c r="DK95" s="35"/>
      <c r="DL95" s="35"/>
      <c r="DM95" s="35"/>
      <c r="DN95" s="35"/>
      <c r="DO95" t="str">
        <f t="shared" si="8"/>
        <v/>
      </c>
    </row>
    <row r="96" spans="5:119" ht="18.95" customHeight="1" x14ac:dyDescent="0.25">
      <c r="E96" s="20"/>
      <c r="F96" s="20"/>
      <c r="G96" s="20"/>
      <c r="H96" s="20"/>
      <c r="K96" s="21"/>
      <c r="L96" t="str">
        <f t="shared" ca="1" si="7"/>
        <v/>
      </c>
      <c r="O96" s="23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35"/>
      <c r="BA96" s="35"/>
      <c r="BB96" s="35"/>
      <c r="BC96" s="35"/>
      <c r="BD96" s="35"/>
      <c r="BE96" s="35"/>
      <c r="BF96" s="35"/>
      <c r="BG96" s="35"/>
      <c r="BH96" s="35"/>
      <c r="BI96" s="35"/>
      <c r="BJ96" s="35"/>
      <c r="BK96" s="35"/>
      <c r="BL96" s="35"/>
      <c r="BM96" s="35"/>
      <c r="BN96" s="35"/>
      <c r="BO96" s="35"/>
      <c r="BP96" s="35"/>
      <c r="BQ96" s="35"/>
      <c r="BR96" s="35"/>
      <c r="BS96" s="35"/>
      <c r="BT96" s="35"/>
      <c r="BU96" s="35"/>
      <c r="BV96" s="35"/>
      <c r="BW96" s="35"/>
      <c r="BX96" s="35"/>
      <c r="BY96" s="35"/>
      <c r="BZ96" s="35"/>
      <c r="CA96" s="35"/>
      <c r="CB96" s="35"/>
      <c r="CC96" s="35"/>
      <c r="CD96" s="35"/>
      <c r="CE96" s="35"/>
      <c r="CF96" s="35"/>
      <c r="CG96" s="35"/>
      <c r="CH96" s="35"/>
      <c r="CI96" s="35"/>
      <c r="CJ96" s="35"/>
      <c r="CK96" s="35"/>
      <c r="CL96" s="35"/>
      <c r="CM96" s="35"/>
      <c r="CN96" s="35"/>
      <c r="CO96" s="35"/>
      <c r="CP96" s="35"/>
      <c r="CQ96" s="35"/>
      <c r="CR96" s="35"/>
      <c r="CS96" s="35"/>
      <c r="CT96" s="35"/>
      <c r="CU96" s="35"/>
      <c r="CV96" s="35"/>
      <c r="CW96" s="35"/>
      <c r="CX96" s="35"/>
      <c r="CY96" s="35"/>
      <c r="CZ96" s="35"/>
      <c r="DA96" s="35"/>
      <c r="DB96" s="35"/>
      <c r="DC96" s="35"/>
      <c r="DD96" s="35"/>
      <c r="DE96" s="35"/>
      <c r="DF96" s="35"/>
      <c r="DG96" s="35"/>
      <c r="DH96" s="35"/>
      <c r="DI96" s="35"/>
      <c r="DJ96" s="35"/>
      <c r="DK96" s="35"/>
      <c r="DL96" s="35"/>
      <c r="DM96" s="35"/>
      <c r="DN96" s="35"/>
      <c r="DO96" t="str">
        <f t="shared" si="8"/>
        <v/>
      </c>
    </row>
  </sheetData>
  <mergeCells count="6">
    <mergeCell ref="B1:F1"/>
    <mergeCell ref="B2:J2"/>
    <mergeCell ref="B4:C4"/>
    <mergeCell ref="H4:K4"/>
    <mergeCell ref="B5:C5"/>
    <mergeCell ref="H5:K5"/>
  </mergeCells>
  <conditionalFormatting sqref="L35:L96 L9:L18 L25">
    <cfRule type="cellIs" dxfId="39" priority="1" stopIfTrue="1" operator="equal">
      <formula>"On Track"</formula>
    </cfRule>
    <cfRule type="cellIs" dxfId="38" priority="2" stopIfTrue="1" operator="equal">
      <formula>"Behind"</formula>
    </cfRule>
    <cfRule type="cellIs" dxfId="37" priority="3" stopIfTrue="1" operator="equal">
      <formula>"Complete"</formula>
    </cfRule>
    <cfRule type="cellIs" dxfId="36" priority="4" stopIfTrue="1" operator="equal">
      <formula>"Not Started"</formula>
    </cfRule>
  </conditionalFormatting>
  <conditionalFormatting sqref="O8:DN8">
    <cfRule type="expression" dxfId="35" priority="5" stopIfTrue="1">
      <formula>AND(O$8&lt;&gt;"",TODAY()&gt;=O$8,TODAY()&lt;O$8+7)</formula>
    </cfRule>
  </conditionalFormatting>
  <conditionalFormatting sqref="K35:K96 K9:K18 K25">
    <cfRule type="dataBar" priority="6">
      <dataBar>
        <cfvo type="num" val="0"/>
        <cfvo type="num" val="1"/>
        <color rgb="FF2563EB"/>
      </dataBar>
      <extLst>
        <ext xmlns:x14="http://schemas.microsoft.com/office/spreadsheetml/2009/9/main" uri="{B025F937-C7B1-47D3-B67F-A62EFF666E3E}">
          <x14:id>{38964715-C743-48FA-901F-5E9D7389C185}</x14:id>
        </ext>
      </extLst>
    </cfRule>
  </conditionalFormatting>
  <conditionalFormatting sqref="O9:DN9 P10:DN17 O18:DN18 O35:DN96 P25:DN25">
    <cfRule type="expression" dxfId="34" priority="7" stopIfTrue="1">
      <formula>AND(O$8&lt;&gt;"",O$8+6&gt;=$E9,O$8&lt;=$G9,$J9&lt;&gt;"",$J9&gt;$I9)</formula>
    </cfRule>
    <cfRule type="expression" dxfId="33" priority="8" stopIfTrue="1">
      <formula>AND(O$8&lt;&gt;"",O$8+6&gt;=$E9,O$8&lt;=$G9,OR($J9="",$J9&lt;=$I9))</formula>
    </cfRule>
  </conditionalFormatting>
  <dataValidations count="2">
    <dataValidation type="decimal" allowBlank="1" showInputMessage="1" showErrorMessage="1" sqref="K35:K96 K9:K25" xr:uid="{F4C69D8F-8B63-497E-A35E-48C269F9192E}">
      <formula1>0</formula1>
      <formula2>1</formula2>
    </dataValidation>
    <dataValidation type="whole" allowBlank="1" showInputMessage="1" showErrorMessage="1" sqref="I35:J96 I9:J25" xr:uid="{BB16FB20-B4FC-4FAE-A732-398188C820EF}">
      <formula1>1</formula1>
      <formula2>365</formula2>
    </dataValidation>
  </dataValidations>
  <hyperlinks>
    <hyperlink ref="B1" location="'Program Dashboard'!A1" tooltip="Return to Program Dashboard" display="‹  Program Dashboard" xr:uid="{C6A23569-8329-443B-9805-E04DB79136EE}"/>
  </hyperlinks>
  <pageMargins left="0.75" right="0.75" top="1" bottom="1" header="0.5" footer="0.5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8964715-C743-48FA-901F-5E9D7389C185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K35:K96 K9:K18 K25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3D744-8627-4C74-93DE-113D543EEB76}">
  <sheetPr codeName="Sheet7">
    <tabColor rgb="FF0F1E2E"/>
  </sheetPr>
  <dimension ref="A1:DO96"/>
  <sheetViews>
    <sheetView showGridLines="0" tabSelected="1" workbookViewId="0">
      <pane xSplit="1" ySplit="8" topLeftCell="B9" activePane="bottomRight" state="frozen"/>
      <selection pane="topRight"/>
      <selection pane="bottomLeft"/>
      <selection pane="bottomRight" activeCell="K11" sqref="K11"/>
    </sheetView>
  </sheetViews>
  <sheetFormatPr defaultRowHeight="15" x14ac:dyDescent="0.25"/>
  <cols>
    <col min="1" max="1" width="2.140625" hidden="1" customWidth="1"/>
    <col min="2" max="2" width="13.42578125" customWidth="1"/>
    <col min="3" max="3" width="29" customWidth="1"/>
    <col min="4" max="4" width="14.140625" customWidth="1"/>
    <col min="5" max="5" width="13.42578125" customWidth="1"/>
    <col min="6" max="6" width="19.28515625" hidden="1" customWidth="1"/>
    <col min="7" max="7" width="13" customWidth="1"/>
    <col min="8" max="8" width="13.85546875" customWidth="1"/>
    <col min="9" max="9" width="13.7109375" customWidth="1"/>
    <col min="10" max="10" width="11" customWidth="1"/>
    <col min="11" max="11" width="12" customWidth="1"/>
    <col min="12" max="12" width="28" customWidth="1"/>
    <col min="13" max="13" width="30.5703125" customWidth="1"/>
    <col min="14" max="14" width="13.85546875" customWidth="1"/>
    <col min="15" max="31" width="5.7109375" bestFit="1" customWidth="1"/>
    <col min="32" max="32" width="8.28515625" customWidth="1"/>
    <col min="33" max="41" width="5.7109375" bestFit="1" customWidth="1"/>
    <col min="42" max="118" width="5.140625" customWidth="1"/>
    <col min="119" max="119" width="0" hidden="1" customWidth="1"/>
  </cols>
  <sheetData>
    <row r="1" spans="1:119" ht="15" customHeight="1" x14ac:dyDescent="0.25">
      <c r="A1" s="1"/>
      <c r="B1" s="46" t="s">
        <v>38</v>
      </c>
      <c r="C1" s="47"/>
      <c r="D1" s="47"/>
      <c r="E1" s="47"/>
      <c r="F1" s="47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</row>
    <row r="2" spans="1:119" ht="30" customHeight="1" x14ac:dyDescent="0.25">
      <c r="A2" s="1"/>
      <c r="B2" s="48" t="s">
        <v>96</v>
      </c>
      <c r="C2" s="47"/>
      <c r="D2" s="47"/>
      <c r="E2" s="47"/>
      <c r="F2" s="47"/>
      <c r="G2" s="47"/>
      <c r="H2" s="47"/>
      <c r="I2" s="47"/>
      <c r="J2" s="47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</row>
    <row r="3" spans="1:119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</row>
    <row r="4" spans="1:119" ht="21.95" customHeight="1" x14ac:dyDescent="0.25">
      <c r="A4" s="1"/>
      <c r="B4" s="49" t="s">
        <v>18</v>
      </c>
      <c r="C4" s="50"/>
      <c r="D4" s="14" t="s">
        <v>19</v>
      </c>
      <c r="E4" s="27" t="s">
        <v>20</v>
      </c>
      <c r="F4" s="39"/>
      <c r="G4" s="17" t="s">
        <v>21</v>
      </c>
      <c r="H4" s="51" t="s">
        <v>22</v>
      </c>
      <c r="I4" s="52"/>
      <c r="J4" s="52"/>
      <c r="K4" s="52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</row>
    <row r="5" spans="1:119" ht="26.1" customHeight="1" x14ac:dyDescent="0.25">
      <c r="A5" s="1"/>
      <c r="B5" s="53">
        <f>F9</f>
        <v>46107</v>
      </c>
      <c r="C5" s="50"/>
      <c r="D5" s="15">
        <f>IF(COUNT(G9:G96)=0,"",MAX(G9:G96))</f>
        <v>46273</v>
      </c>
      <c r="E5" s="28">
        <f>IFERROR(SUMPRODUCT(I9:I96,K9:K96)/SUM(I9:I96),0)</f>
        <v>0.31506849315068491</v>
      </c>
      <c r="F5" s="40"/>
      <c r="G5" s="16" t="str">
        <f ca="1">IF(E5&gt;=1,"Complete",IF(COUNTIF(L9:L96,"Behind")&gt;0,"Behind",IF(AND(COUNTIF(C9:C96,"&lt;&gt;")&gt;0,COUNTIF(L9:L96,"Not Started")=COUNTIF(C9:C96,"&lt;&gt;")),"Not Started","On Track")))</f>
        <v>Behind</v>
      </c>
      <c r="H5" s="54">
        <f ca="1">D5-TODAY()</f>
        <v>84</v>
      </c>
      <c r="I5" s="55"/>
      <c r="J5" s="55"/>
      <c r="K5" s="55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</row>
    <row r="6" spans="1:119" ht="18" customHeight="1" x14ac:dyDescent="0.3">
      <c r="A6" s="1"/>
      <c r="B6" s="44" t="s">
        <v>23</v>
      </c>
      <c r="C6" s="43" t="str">
        <f ca="1">IFERROR(INDEX(C9:C96,MATCH(0,DO9:DO96,0)),"Program Complete")</f>
        <v xml:space="preserve"> -4021 subcomponents</v>
      </c>
      <c r="D6" s="1"/>
      <c r="E6" s="1"/>
      <c r="F6" s="1"/>
      <c r="G6" s="1"/>
      <c r="H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</row>
    <row r="7" spans="1:119" ht="1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</row>
    <row r="8" spans="1:119" ht="30" customHeight="1" x14ac:dyDescent="0.25">
      <c r="A8" s="1"/>
      <c r="B8" s="4" t="s">
        <v>24</v>
      </c>
      <c r="C8" s="4" t="s">
        <v>25</v>
      </c>
      <c r="D8" s="4" t="s">
        <v>26</v>
      </c>
      <c r="E8" s="4" t="s">
        <v>27</v>
      </c>
      <c r="F8" s="4" t="s">
        <v>28</v>
      </c>
      <c r="G8" s="4" t="s">
        <v>29</v>
      </c>
      <c r="H8" s="4" t="s">
        <v>30</v>
      </c>
      <c r="I8" s="4" t="s">
        <v>35</v>
      </c>
      <c r="J8" s="4" t="s">
        <v>36</v>
      </c>
      <c r="K8" s="4" t="s">
        <v>31</v>
      </c>
      <c r="L8" s="4" t="s">
        <v>17</v>
      </c>
      <c r="M8" s="4" t="s">
        <v>32</v>
      </c>
      <c r="N8" s="41"/>
      <c r="O8" s="22">
        <f>$B$5</f>
        <v>46107</v>
      </c>
      <c r="P8" s="22">
        <f t="shared" ref="P8:CA8" si="0">IF(O8="","",IF(O8+7&gt;$D$5,"",O8+7))</f>
        <v>46114</v>
      </c>
      <c r="Q8" s="22">
        <f t="shared" si="0"/>
        <v>46121</v>
      </c>
      <c r="R8" s="22">
        <f t="shared" si="0"/>
        <v>46128</v>
      </c>
      <c r="S8" s="22">
        <f t="shared" si="0"/>
        <v>46135</v>
      </c>
      <c r="T8" s="22">
        <f t="shared" si="0"/>
        <v>46142</v>
      </c>
      <c r="U8" s="22">
        <f t="shared" si="0"/>
        <v>46149</v>
      </c>
      <c r="V8" s="22">
        <f t="shared" si="0"/>
        <v>46156</v>
      </c>
      <c r="W8" s="22">
        <f t="shared" si="0"/>
        <v>46163</v>
      </c>
      <c r="X8" s="22">
        <f t="shared" si="0"/>
        <v>46170</v>
      </c>
      <c r="Y8" s="22">
        <f t="shared" si="0"/>
        <v>46177</v>
      </c>
      <c r="Z8" s="22">
        <f t="shared" si="0"/>
        <v>46184</v>
      </c>
      <c r="AA8" s="22">
        <f t="shared" si="0"/>
        <v>46191</v>
      </c>
      <c r="AB8" s="22">
        <f t="shared" si="0"/>
        <v>46198</v>
      </c>
      <c r="AC8" s="22">
        <f t="shared" si="0"/>
        <v>46205</v>
      </c>
      <c r="AD8" s="22">
        <f t="shared" si="0"/>
        <v>46212</v>
      </c>
      <c r="AE8" s="22">
        <f t="shared" si="0"/>
        <v>46219</v>
      </c>
      <c r="AF8" s="22">
        <f t="shared" si="0"/>
        <v>46226</v>
      </c>
      <c r="AG8" s="22">
        <f t="shared" si="0"/>
        <v>46233</v>
      </c>
      <c r="AH8" s="22">
        <f t="shared" si="0"/>
        <v>46240</v>
      </c>
      <c r="AI8" s="22">
        <f t="shared" si="0"/>
        <v>46247</v>
      </c>
      <c r="AJ8" s="22">
        <f t="shared" si="0"/>
        <v>46254</v>
      </c>
      <c r="AK8" s="22">
        <f t="shared" si="0"/>
        <v>46261</v>
      </c>
      <c r="AL8" s="22">
        <f t="shared" si="0"/>
        <v>46268</v>
      </c>
      <c r="AM8" s="22" t="str">
        <f t="shared" si="0"/>
        <v/>
      </c>
      <c r="AN8" s="22" t="str">
        <f t="shared" si="0"/>
        <v/>
      </c>
      <c r="AO8" s="22" t="str">
        <f t="shared" si="0"/>
        <v/>
      </c>
      <c r="AP8" s="22" t="str">
        <f t="shared" si="0"/>
        <v/>
      </c>
      <c r="AQ8" s="22" t="str">
        <f t="shared" si="0"/>
        <v/>
      </c>
      <c r="AR8" s="22" t="str">
        <f t="shared" si="0"/>
        <v/>
      </c>
      <c r="AS8" s="22" t="str">
        <f t="shared" si="0"/>
        <v/>
      </c>
      <c r="AT8" s="22" t="str">
        <f t="shared" si="0"/>
        <v/>
      </c>
      <c r="AU8" s="22" t="str">
        <f t="shared" si="0"/>
        <v/>
      </c>
      <c r="AV8" s="22" t="str">
        <f t="shared" si="0"/>
        <v/>
      </c>
      <c r="AW8" s="22" t="str">
        <f t="shared" si="0"/>
        <v/>
      </c>
      <c r="AX8" s="22" t="str">
        <f t="shared" si="0"/>
        <v/>
      </c>
      <c r="AY8" s="22" t="str">
        <f t="shared" si="0"/>
        <v/>
      </c>
      <c r="AZ8" s="22" t="str">
        <f t="shared" si="0"/>
        <v/>
      </c>
      <c r="BA8" s="22" t="str">
        <f t="shared" si="0"/>
        <v/>
      </c>
      <c r="BB8" s="22" t="str">
        <f t="shared" si="0"/>
        <v/>
      </c>
      <c r="BC8" s="22" t="str">
        <f t="shared" si="0"/>
        <v/>
      </c>
      <c r="BD8" s="22" t="str">
        <f t="shared" si="0"/>
        <v/>
      </c>
      <c r="BE8" s="22" t="str">
        <f t="shared" si="0"/>
        <v/>
      </c>
      <c r="BF8" s="22" t="str">
        <f t="shared" si="0"/>
        <v/>
      </c>
      <c r="BG8" s="22" t="str">
        <f t="shared" si="0"/>
        <v/>
      </c>
      <c r="BH8" s="22" t="str">
        <f t="shared" si="0"/>
        <v/>
      </c>
      <c r="BI8" s="22" t="str">
        <f t="shared" si="0"/>
        <v/>
      </c>
      <c r="BJ8" s="22" t="str">
        <f t="shared" si="0"/>
        <v/>
      </c>
      <c r="BK8" s="22" t="str">
        <f t="shared" si="0"/>
        <v/>
      </c>
      <c r="BL8" s="22" t="str">
        <f t="shared" si="0"/>
        <v/>
      </c>
      <c r="BM8" s="22" t="str">
        <f t="shared" si="0"/>
        <v/>
      </c>
      <c r="BN8" s="22" t="str">
        <f t="shared" si="0"/>
        <v/>
      </c>
      <c r="BO8" s="22" t="str">
        <f t="shared" si="0"/>
        <v/>
      </c>
      <c r="BP8" s="22" t="str">
        <f t="shared" si="0"/>
        <v/>
      </c>
      <c r="BQ8" s="22" t="str">
        <f t="shared" si="0"/>
        <v/>
      </c>
      <c r="BR8" s="22" t="str">
        <f t="shared" si="0"/>
        <v/>
      </c>
      <c r="BS8" s="22" t="str">
        <f t="shared" si="0"/>
        <v/>
      </c>
      <c r="BT8" s="22" t="str">
        <f t="shared" si="0"/>
        <v/>
      </c>
      <c r="BU8" s="22" t="str">
        <f t="shared" si="0"/>
        <v/>
      </c>
      <c r="BV8" s="22" t="str">
        <f t="shared" si="0"/>
        <v/>
      </c>
      <c r="BW8" s="22" t="str">
        <f t="shared" si="0"/>
        <v/>
      </c>
      <c r="BX8" s="22" t="str">
        <f t="shared" si="0"/>
        <v/>
      </c>
      <c r="BY8" s="22" t="str">
        <f t="shared" si="0"/>
        <v/>
      </c>
      <c r="BZ8" s="22" t="str">
        <f t="shared" si="0"/>
        <v/>
      </c>
      <c r="CA8" s="22" t="str">
        <f t="shared" si="0"/>
        <v/>
      </c>
      <c r="CB8" s="22" t="str">
        <f t="shared" ref="CB8:DN8" si="1">IF(CA8="","",IF(CA8+7&gt;$D$5,"",CA8+7))</f>
        <v/>
      </c>
      <c r="CC8" s="22" t="str">
        <f t="shared" si="1"/>
        <v/>
      </c>
      <c r="CD8" s="22" t="str">
        <f t="shared" si="1"/>
        <v/>
      </c>
      <c r="CE8" s="22" t="str">
        <f t="shared" si="1"/>
        <v/>
      </c>
      <c r="CF8" s="22" t="str">
        <f t="shared" si="1"/>
        <v/>
      </c>
      <c r="CG8" s="22" t="str">
        <f t="shared" si="1"/>
        <v/>
      </c>
      <c r="CH8" s="22" t="str">
        <f t="shared" si="1"/>
        <v/>
      </c>
      <c r="CI8" s="22" t="str">
        <f t="shared" si="1"/>
        <v/>
      </c>
      <c r="CJ8" s="22" t="str">
        <f t="shared" si="1"/>
        <v/>
      </c>
      <c r="CK8" s="22" t="str">
        <f t="shared" si="1"/>
        <v/>
      </c>
      <c r="CL8" s="22" t="str">
        <f t="shared" si="1"/>
        <v/>
      </c>
      <c r="CM8" s="22" t="str">
        <f t="shared" si="1"/>
        <v/>
      </c>
      <c r="CN8" s="22" t="str">
        <f t="shared" si="1"/>
        <v/>
      </c>
      <c r="CO8" s="22" t="str">
        <f t="shared" si="1"/>
        <v/>
      </c>
      <c r="CP8" s="22" t="str">
        <f t="shared" si="1"/>
        <v/>
      </c>
      <c r="CQ8" s="22" t="str">
        <f t="shared" si="1"/>
        <v/>
      </c>
      <c r="CR8" s="22" t="str">
        <f t="shared" si="1"/>
        <v/>
      </c>
      <c r="CS8" s="22" t="str">
        <f t="shared" si="1"/>
        <v/>
      </c>
      <c r="CT8" s="22" t="str">
        <f t="shared" si="1"/>
        <v/>
      </c>
      <c r="CU8" s="22" t="str">
        <f t="shared" si="1"/>
        <v/>
      </c>
      <c r="CV8" s="22" t="str">
        <f t="shared" si="1"/>
        <v/>
      </c>
      <c r="CW8" s="22" t="str">
        <f t="shared" si="1"/>
        <v/>
      </c>
      <c r="CX8" s="22" t="str">
        <f t="shared" si="1"/>
        <v/>
      </c>
      <c r="CY8" s="22" t="str">
        <f t="shared" si="1"/>
        <v/>
      </c>
      <c r="CZ8" s="22" t="str">
        <f t="shared" si="1"/>
        <v/>
      </c>
      <c r="DA8" s="22" t="str">
        <f t="shared" si="1"/>
        <v/>
      </c>
      <c r="DB8" s="22" t="str">
        <f t="shared" si="1"/>
        <v/>
      </c>
      <c r="DC8" s="22" t="str">
        <f t="shared" si="1"/>
        <v/>
      </c>
      <c r="DD8" s="22" t="str">
        <f t="shared" si="1"/>
        <v/>
      </c>
      <c r="DE8" s="22" t="str">
        <f t="shared" si="1"/>
        <v/>
      </c>
      <c r="DF8" s="22" t="str">
        <f t="shared" si="1"/>
        <v/>
      </c>
      <c r="DG8" s="22" t="str">
        <f t="shared" si="1"/>
        <v/>
      </c>
      <c r="DH8" s="22" t="str">
        <f t="shared" si="1"/>
        <v/>
      </c>
      <c r="DI8" s="22" t="str">
        <f t="shared" si="1"/>
        <v/>
      </c>
      <c r="DJ8" s="22" t="str">
        <f t="shared" si="1"/>
        <v/>
      </c>
      <c r="DK8" s="22" t="str">
        <f t="shared" si="1"/>
        <v/>
      </c>
      <c r="DL8" s="22" t="str">
        <f t="shared" si="1"/>
        <v/>
      </c>
      <c r="DM8" s="22" t="str">
        <f t="shared" si="1"/>
        <v/>
      </c>
      <c r="DN8" s="22" t="str">
        <f t="shared" si="1"/>
        <v/>
      </c>
    </row>
    <row r="9" spans="1:119" ht="19.149999999999999" customHeight="1" x14ac:dyDescent="0.25">
      <c r="A9" s="1"/>
      <c r="B9" s="11">
        <f>IF(C9="","",COUNTIF($C$9:C9,"&lt;&gt;"))</f>
        <v>1</v>
      </c>
      <c r="C9" s="11" t="s">
        <v>97</v>
      </c>
      <c r="D9" s="37" t="s">
        <v>99</v>
      </c>
      <c r="E9" s="18">
        <v>46107</v>
      </c>
      <c r="F9" s="18">
        <v>46107</v>
      </c>
      <c r="G9" s="18">
        <f>IF(OR(C9="",I9=""),"",WORKDAY.INTL(E9,IF(J9="",I9,J9)-1,"0000111",'Holiday Schedule'!$C$9:$C$18))</f>
      </c>
      <c r="H9" s="18">
        <v>46121</v>
      </c>
      <c r="I9" s="11">
        <v>6</v>
      </c>
      <c r="J9" s="11">
        <v>6</v>
      </c>
      <c r="K9" s="7">
        <v>1</v>
      </c>
      <c r="L9" s="11" t="str">
        <f t="shared" ref="L9:L25" ca="1" si="3">IF(C9="","",IF(K9&gt;=1,"Complete",IF(TODAY()&lt;E9,"Not Started",IF(K9&gt;=NETWORKDAYS.INTL(E9,MIN(TODAY(),G9),"0001111")/NETWORKDAYS.INTL(E9,G9,"0001111"),"On Track","Behind"))))</f>
        <v>Complete</v>
      </c>
      <c r="M9" s="11"/>
      <c r="N9" s="36"/>
      <c r="O9" s="29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  <c r="BG9" s="32"/>
      <c r="BH9" s="32"/>
      <c r="BI9" s="32"/>
      <c r="BJ9" s="32"/>
      <c r="BK9" s="32"/>
      <c r="BL9" s="32"/>
      <c r="BM9" s="32"/>
      <c r="BN9" s="32"/>
      <c r="BO9" s="32"/>
      <c r="BP9" s="32"/>
      <c r="BQ9" s="32"/>
      <c r="BR9" s="32"/>
      <c r="BS9" s="32"/>
      <c r="BT9" s="32"/>
      <c r="BU9" s="32"/>
      <c r="BV9" s="32"/>
      <c r="BW9" s="32"/>
      <c r="BX9" s="32"/>
      <c r="BY9" s="32"/>
      <c r="BZ9" s="32"/>
      <c r="CA9" s="32"/>
      <c r="CB9" s="32"/>
      <c r="CC9" s="32"/>
      <c r="CD9" s="32"/>
      <c r="CE9" s="32"/>
      <c r="CF9" s="32"/>
      <c r="CG9" s="32"/>
      <c r="CH9" s="32"/>
      <c r="CI9" s="32"/>
      <c r="CJ9" s="32"/>
      <c r="CK9" s="32"/>
      <c r="CL9" s="32"/>
      <c r="CM9" s="32"/>
      <c r="CN9" s="32"/>
      <c r="CO9" s="32"/>
      <c r="CP9" s="32"/>
      <c r="CQ9" s="32"/>
      <c r="CR9" s="32"/>
      <c r="CS9" s="32"/>
      <c r="CT9" s="32"/>
      <c r="CU9" s="32"/>
      <c r="CV9" s="32"/>
      <c r="CW9" s="32"/>
      <c r="CX9" s="32"/>
      <c r="CY9" s="32"/>
      <c r="CZ9" s="32"/>
      <c r="DA9" s="32"/>
      <c r="DB9" s="32"/>
      <c r="DC9" s="32"/>
      <c r="DD9" s="32"/>
      <c r="DE9" s="32"/>
      <c r="DF9" s="32"/>
      <c r="DG9" s="32"/>
      <c r="DH9" s="32"/>
      <c r="DI9" s="32"/>
      <c r="DJ9" s="32"/>
      <c r="DK9" s="32"/>
      <c r="DL9" s="32"/>
      <c r="DM9" s="32"/>
      <c r="DN9" s="32"/>
      <c r="DO9">
        <f t="shared" ref="DO9:DO78" ca="1" si="4">IF(C9="","",IF(L9="Complete",1,0))</f>
        <v>1</v>
      </c>
    </row>
    <row r="10" spans="1:119" ht="18.95" customHeight="1" x14ac:dyDescent="0.25">
      <c r="A10" s="1"/>
      <c r="B10" s="13">
        <f>IF(C10="","",COUNTIF($C$9:C10,"&lt;&gt;"))</f>
        <v>2</v>
      </c>
      <c r="C10" s="13" t="s">
        <v>65</v>
      </c>
      <c r="D10" s="38" t="s">
        <v>80</v>
      </c>
      <c r="E10" s="19">
        <v>46134</v>
      </c>
      <c r="F10" s="19">
        <v>46125</v>
      </c>
      <c r="G10" s="19">
        <f>IF(OR(C10="",I10=""),"",WORKDAY.INTL(E10,IF(J10="",I10,J10)-1,"0000111",'Holiday Schedule'!$C$9:$C$18))</f>
      </c>
      <c r="H10" s="19">
        <v>46128</v>
      </c>
      <c r="I10" s="11">
        <v>17</v>
      </c>
      <c r="J10" s="13">
        <v>17</v>
      </c>
      <c r="K10" s="12">
        <v>1</v>
      </c>
      <c r="L10" s="13" t="str">
        <f t="shared" ca="1" si="3"/>
        <v>Complete</v>
      </c>
      <c r="M10" s="13"/>
      <c r="N10" s="42"/>
      <c r="O10" s="42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  <c r="DL10" s="33"/>
      <c r="DM10" s="33"/>
      <c r="DN10" s="33"/>
      <c r="DO10">
        <f t="shared" ca="1" si="4"/>
        <v>1</v>
      </c>
    </row>
    <row r="11" spans="1:119" ht="18.95" customHeight="1" x14ac:dyDescent="0.25">
      <c r="A11" s="1"/>
      <c r="B11" s="11">
        <f>IF(C11="","",COUNTIF($C$9:C11,"&lt;&gt;"))</f>
        <v>3</v>
      </c>
      <c r="C11" s="11" t="s">
        <v>98</v>
      </c>
      <c r="D11" s="37" t="s">
        <v>51</v>
      </c>
      <c r="E11" s="18">
        <v>46188</v>
      </c>
      <c r="F11" s="18">
        <v>46132</v>
      </c>
      <c r="G11" s="18">
        <f>IF(OR(C11="",I11=""),"",WORKDAY.INTL(E11,IF(J11="",I11,J11)-1,"0000111",'Holiday Schedule'!$C$9:$C$18))</f>
      </c>
      <c r="H11" s="18">
        <v>46142</v>
      </c>
      <c r="I11" s="11">
        <v>10</v>
      </c>
      <c r="J11" s="11">
        <v>10</v>
      </c>
      <c r="K11" s="7"/>
      <c r="L11" s="11" t="str">
        <f t="shared" ca="1" si="3"/>
        <v>Behind</v>
      </c>
      <c r="M11" s="11"/>
      <c r="N11" s="36"/>
      <c r="O11" s="36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>
        <f t="shared" ca="1" si="4"/>
        <v>0</v>
      </c>
    </row>
    <row r="12" spans="1:119" ht="18.95" customHeight="1" x14ac:dyDescent="0.25">
      <c r="A12" s="1"/>
      <c r="B12" s="13">
        <f>IF(C12="","",COUNTIF($C$9:C12,"&lt;&gt;"))</f>
        <v>4</v>
      </c>
      <c r="C12" s="13" t="s">
        <v>67</v>
      </c>
      <c r="D12" s="38" t="s">
        <v>51</v>
      </c>
      <c r="E12" s="19">
        <f>IF(C12="","",WORKDAY.INTL(G11,1,"0000111",'Holiday Schedule'!$C$9:$C$18))</f>
      </c>
      <c r="F12" s="19">
        <v>46146</v>
      </c>
      <c r="G12" s="19">
        <f>IF(OR(C12="",I12=""),"",WORKDAY.INTL(E12,IF(J12="",I12,J12)-1,"0000111",'Holiday Schedule'!$C$9:$C$18))</f>
      </c>
      <c r="H12" s="19">
        <v>46148</v>
      </c>
      <c r="I12" s="11">
        <v>2</v>
      </c>
      <c r="J12" s="13">
        <v>2</v>
      </c>
      <c r="K12" s="12"/>
      <c r="L12" s="13" t="str">
        <f t="shared" ca="1" si="3"/>
        <v>Not Started</v>
      </c>
      <c r="M12" s="13"/>
      <c r="N12" s="42"/>
      <c r="O12" s="42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3"/>
      <c r="CE12" s="33"/>
      <c r="CF12" s="33"/>
      <c r="CG12" s="33"/>
      <c r="CH12" s="33"/>
      <c r="CI12" s="33"/>
      <c r="CJ12" s="33"/>
      <c r="CK12" s="33"/>
      <c r="CL12" s="33"/>
      <c r="CM12" s="33"/>
      <c r="CN12" s="33"/>
      <c r="CO12" s="33"/>
      <c r="CP12" s="33"/>
      <c r="CQ12" s="33"/>
      <c r="CR12" s="33"/>
      <c r="CS12" s="33"/>
      <c r="CT12" s="33"/>
      <c r="CU12" s="33"/>
      <c r="CV12" s="33"/>
      <c r="CW12" s="33"/>
      <c r="CX12" s="33"/>
      <c r="CY12" s="33"/>
      <c r="CZ12" s="33"/>
      <c r="DA12" s="33"/>
      <c r="DB12" s="33"/>
      <c r="DC12" s="33"/>
      <c r="DD12" s="33"/>
      <c r="DE12" s="33"/>
      <c r="DF12" s="33"/>
      <c r="DG12" s="33"/>
      <c r="DH12" s="33"/>
      <c r="DI12" s="33"/>
      <c r="DJ12" s="33"/>
      <c r="DK12" s="33"/>
      <c r="DL12" s="33"/>
      <c r="DM12" s="33"/>
      <c r="DN12" s="33"/>
      <c r="DO12">
        <f t="shared" ca="1" si="4"/>
        <v>0</v>
      </c>
    </row>
    <row r="13" spans="1:119" ht="18.95" customHeight="1" x14ac:dyDescent="0.25">
      <c r="A13" s="1"/>
      <c r="B13" s="11">
        <f>IF(C13="","",COUNTIF($C$9:C13,"&lt;&gt;"))</f>
        <v>5</v>
      </c>
      <c r="C13" s="11" t="s">
        <v>68</v>
      </c>
      <c r="D13" s="37" t="s">
        <v>51</v>
      </c>
      <c r="E13" s="18">
        <f>IF(C13="","",WORKDAY.INTL(G12,1,"0000111",'Holiday Schedule'!$C$9:$C$18))</f>
      </c>
      <c r="F13" s="18">
        <v>46149</v>
      </c>
      <c r="G13" s="18">
        <f>IF(OR(C13="",I13=""),"",WORKDAY.INTL(E13,IF(J13="",I13,J13)-1,"0000111",'Holiday Schedule'!$C$9:$C$18))</f>
      </c>
      <c r="H13" s="18">
        <v>46162</v>
      </c>
      <c r="I13" s="11">
        <v>7</v>
      </c>
      <c r="J13" s="11">
        <v>7</v>
      </c>
      <c r="K13" s="7"/>
      <c r="L13" s="11" t="str">
        <f t="shared" ca="1" si="3"/>
        <v>Not Started</v>
      </c>
      <c r="M13" s="11"/>
      <c r="N13" s="36"/>
      <c r="O13" s="36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/>
      <c r="DK13" s="34"/>
      <c r="DL13" s="34"/>
      <c r="DM13" s="34"/>
      <c r="DN13" s="34"/>
      <c r="DO13">
        <f t="shared" ca="1" si="4"/>
        <v>0</v>
      </c>
    </row>
    <row r="14" spans="1:119" ht="18.95" customHeight="1" x14ac:dyDescent="0.25">
      <c r="A14" s="1"/>
      <c r="B14" s="13">
        <f>IF(C14="","",COUNTIF($C$9:C14,"&lt;&gt;"))</f>
        <v>6</v>
      </c>
      <c r="C14" s="13" t="s">
        <v>69</v>
      </c>
      <c r="D14" s="38" t="s">
        <v>51</v>
      </c>
      <c r="E14" s="19">
        <f>IF(C14="","",WORKDAY.INTL(G13,1,"0000111",'Holiday Schedule'!$C$9:$C$18))</f>
      </c>
      <c r="F14" s="19">
        <v>46163</v>
      </c>
      <c r="G14" s="19">
        <f>IF(OR(C14="",I14=""),"",WORKDAY.INTL(E14,IF(J14="",I14,J14)-1,"0000111",'Holiday Schedule'!$C$9:$C$18))</f>
      </c>
      <c r="H14" s="19">
        <v>46169</v>
      </c>
      <c r="I14" s="11">
        <v>2</v>
      </c>
      <c r="J14" s="13">
        <v>2</v>
      </c>
      <c r="K14" s="12"/>
      <c r="L14" s="13" t="str">
        <f t="shared" ca="1" si="3"/>
        <v>Not Started</v>
      </c>
      <c r="M14" s="13"/>
      <c r="N14" s="42"/>
      <c r="O14" s="42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s="33"/>
      <c r="CE14" s="33"/>
      <c r="CF14" s="33"/>
      <c r="CG14" s="33"/>
      <c r="CH14" s="33"/>
      <c r="CI14" s="33"/>
      <c r="CJ14" s="33"/>
      <c r="CK14" s="33"/>
      <c r="CL14" s="33"/>
      <c r="CM14" s="33"/>
      <c r="CN14" s="33"/>
      <c r="CO14" s="33"/>
      <c r="CP14" s="33"/>
      <c r="CQ14" s="33"/>
      <c r="CR14" s="33"/>
      <c r="CS14" s="33"/>
      <c r="CT14" s="33"/>
      <c r="CU14" s="33"/>
      <c r="CV14" s="33"/>
      <c r="CW14" s="33"/>
      <c r="CX14" s="33"/>
      <c r="CY14" s="33"/>
      <c r="CZ14" s="33"/>
      <c r="DA14" s="33"/>
      <c r="DB14" s="33"/>
      <c r="DC14" s="33"/>
      <c r="DD14" s="33"/>
      <c r="DE14" s="33"/>
      <c r="DF14" s="33"/>
      <c r="DG14" s="33"/>
      <c r="DH14" s="33"/>
      <c r="DI14" s="33"/>
      <c r="DJ14" s="33"/>
      <c r="DK14" s="33"/>
      <c r="DL14" s="33"/>
      <c r="DM14" s="33"/>
      <c r="DN14" s="33"/>
      <c r="DO14">
        <f t="shared" ca="1" si="4"/>
        <v>0</v>
      </c>
    </row>
    <row r="15" spans="1:119" ht="18.95" customHeight="1" x14ac:dyDescent="0.25">
      <c r="A15" s="1"/>
      <c r="B15" s="11">
        <f>IF(C15="","",COUNTIF($C$9:C15,"&lt;&gt;"))</f>
        <v>7</v>
      </c>
      <c r="C15" s="11" t="s">
        <v>70</v>
      </c>
      <c r="D15" s="37" t="s">
        <v>51</v>
      </c>
      <c r="E15" s="18">
        <f>IF(C15="","",WORKDAY.INTL(G14,1,"0000111",'Holiday Schedule'!$C$9:$C$18))</f>
      </c>
      <c r="F15" s="18">
        <v>46170</v>
      </c>
      <c r="G15" s="18">
        <f>IF(OR(C15="",I15=""),"",WORKDAY.INTL(E15,IF(J15="",I15,J15)-1,"0000111",'Holiday Schedule'!$C$9:$C$18))</f>
      </c>
      <c r="H15" s="18">
        <v>46181</v>
      </c>
      <c r="I15" s="11">
        <v>4</v>
      </c>
      <c r="J15" s="11">
        <v>4</v>
      </c>
      <c r="K15" s="7"/>
      <c r="L15" s="11" t="str">
        <f t="shared" ca="1" si="3"/>
        <v>Not Started</v>
      </c>
      <c r="M15" s="11"/>
      <c r="N15" s="36"/>
      <c r="O15" s="36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>
        <f t="shared" ca="1" si="4"/>
        <v>0</v>
      </c>
    </row>
    <row r="16" spans="1:119" ht="27.6" customHeight="1" x14ac:dyDescent="0.25">
      <c r="A16" s="1"/>
      <c r="B16" s="13">
        <f>IF(C16="","",COUNTIF($C$9:C16,"&lt;&gt;"))</f>
        <v>8</v>
      </c>
      <c r="C16" s="13" t="s">
        <v>71</v>
      </c>
      <c r="D16" s="38" t="s">
        <v>51</v>
      </c>
      <c r="E16" s="19">
        <f>IF(C16="","",WORKDAY.INTL(G15,1,"0000111",'Holiday Schedule'!$C$9:$C$18))</f>
      </c>
      <c r="F16" s="19">
        <v>46182</v>
      </c>
      <c r="G16" s="19">
        <f>IF(OR(C16="",I16=""),"",WORKDAY.INTL(E16,IF(J16="",I16,J16)-1,"0000111",'Holiday Schedule'!$C$9:$C$18))</f>
      </c>
      <c r="H16" s="19">
        <v>46184</v>
      </c>
      <c r="I16" s="11">
        <v>2</v>
      </c>
      <c r="J16" s="13">
        <v>2</v>
      </c>
      <c r="K16" s="12"/>
      <c r="L16" s="13" t="str">
        <f t="shared" ca="1" si="3"/>
        <v>Not Started</v>
      </c>
      <c r="M16" s="13"/>
      <c r="N16" s="42"/>
      <c r="O16" s="42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>
        <f t="shared" ca="1" si="4"/>
        <v>0</v>
      </c>
    </row>
    <row r="17" spans="1:119" ht="33.6" customHeight="1" x14ac:dyDescent="0.25">
      <c r="A17" s="1"/>
      <c r="B17" s="11">
        <f>IF(C17="","",COUNTIF($C$9:C17,"&lt;&gt;"))</f>
        <v>9</v>
      </c>
      <c r="C17" s="11" t="s">
        <v>72</v>
      </c>
      <c r="D17" s="37" t="s">
        <v>51</v>
      </c>
      <c r="E17" s="18">
        <f>IF(C17="","",WORKDAY.INTL(G16,1,"0000111",'Holiday Schedule'!$C$9:$C$18))</f>
      </c>
      <c r="F17" s="18">
        <v>46188</v>
      </c>
      <c r="G17" s="18">
        <f>IF(OR(C17="",I17=""),"",WORKDAY.INTL(E17,IF(J17="",I17,J17)-1,"0000111",'Holiday Schedule'!$C$9:$C$18))</f>
      </c>
      <c r="H17" s="18">
        <v>46198</v>
      </c>
      <c r="I17" s="11">
        <v>5</v>
      </c>
      <c r="J17" s="11">
        <v>5</v>
      </c>
      <c r="K17" s="7"/>
      <c r="L17" s="11" t="str">
        <f t="shared" ca="1" si="3"/>
        <v>Not Started</v>
      </c>
      <c r="M17" s="11"/>
      <c r="N17" s="36"/>
      <c r="O17" s="36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>
        <f t="shared" ca="1" si="4"/>
        <v>0</v>
      </c>
    </row>
    <row r="18" spans="1:119" ht="18.95" customHeight="1" x14ac:dyDescent="0.25">
      <c r="A18" s="1"/>
      <c r="B18" s="13">
        <f>IF(C18="","",COUNTIF($C$9:C18,"&lt;&gt;"))</f>
        <v>10</v>
      </c>
      <c r="C18" s="13" t="s">
        <v>73</v>
      </c>
      <c r="D18" s="38" t="s">
        <v>51</v>
      </c>
      <c r="E18" s="19">
        <f>IF(C18="","",WORKDAY.INTL(G17,1,"0000111",'Holiday Schedule'!$C$9:$C$18))</f>
      </c>
      <c r="F18" s="19">
        <v>46202</v>
      </c>
      <c r="G18" s="19">
        <f>IF(OR(C18="",I18=""),"",WORKDAY.INTL(E18,IF(J18="",I18,J18)-1,"0000111",'Holiday Schedule'!$C$9:$C$18))</f>
      </c>
      <c r="H18" s="19">
        <v>46203</v>
      </c>
      <c r="I18" s="11">
        <v>1</v>
      </c>
      <c r="J18" s="13">
        <v>1</v>
      </c>
      <c r="K18" s="12"/>
      <c r="L18" s="13" t="str">
        <f t="shared" ca="1" si="3"/>
        <v>Not Started</v>
      </c>
      <c r="M18" s="13"/>
      <c r="N18" s="42"/>
      <c r="O18" s="30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>
        <f t="shared" ca="1" si="4"/>
        <v>0</v>
      </c>
    </row>
    <row r="19" spans="1:119" s="11" customFormat="1" ht="18.95" customHeight="1" x14ac:dyDescent="0.25">
      <c r="B19" s="11">
        <f>IF(C19="","ADD",COUNTIF($C$9:C19,"&lt;&gt;"))</f>
        <v>11</v>
      </c>
      <c r="C19" s="11" t="s">
        <v>74</v>
      </c>
      <c r="D19" s="11" t="s">
        <v>51</v>
      </c>
      <c r="E19" s="18">
        <f>IF(C19="","",WORKDAY.INTL(G18,1,"0000111",'Holiday Schedule'!$C$9:$C$18))</f>
      </c>
      <c r="F19" s="18">
        <v>46204</v>
      </c>
      <c r="G19" s="18">
        <f>IF(OR(C19="",I19=""),"",WORKDAY.INTL(E19,IF(J19="",I19,J19)-1,"0000111",'Holiday Schedule'!$C$9:$C$18))</f>
      </c>
      <c r="H19" s="18">
        <v>46211</v>
      </c>
      <c r="I19" s="11">
        <v>3</v>
      </c>
      <c r="J19" s="11">
        <v>3</v>
      </c>
      <c r="L19" s="11" t="str">
        <f t="shared" ca="1" si="3"/>
        <v>Not Started</v>
      </c>
      <c r="DO19" s="11">
        <f t="shared" ca="1" si="4"/>
        <v>0</v>
      </c>
    </row>
    <row r="20" spans="1:119" s="13" customFormat="1" ht="18.95" customHeight="1" x14ac:dyDescent="0.25">
      <c r="B20" s="13">
        <f>IF(C20="","ADD",COUNTIF($C$9:C20,"&lt;&gt;"))</f>
        <v>12</v>
      </c>
      <c r="C20" s="13" t="s">
        <v>75</v>
      </c>
      <c r="D20" s="13" t="s">
        <v>51</v>
      </c>
      <c r="E20" s="19">
        <f>IF(C20="","",WORKDAY.INTL(G19,1,"0000111",'Holiday Schedule'!$C$9:$C$18))</f>
      </c>
      <c r="F20" s="19">
        <v>46212</v>
      </c>
      <c r="G20" s="19">
        <f>IF(OR(C20="",I20=""),"",WORKDAY.INTL(E20,IF(J20="",I20,J20)-1,"0000111",'Holiday Schedule'!$C$9:$C$18))</f>
      </c>
      <c r="H20" s="19">
        <v>46217</v>
      </c>
      <c r="I20" s="11">
        <v>2</v>
      </c>
      <c r="J20" s="13">
        <v>2</v>
      </c>
      <c r="L20" s="13" t="str">
        <f t="shared" ca="1" si="3"/>
        <v>Not Started</v>
      </c>
      <c r="DO20" s="13">
        <f t="shared" ca="1" si="4"/>
        <v>0</v>
      </c>
    </row>
    <row r="21" spans="1:119" s="11" customFormat="1" ht="18.95" customHeight="1" x14ac:dyDescent="0.25">
      <c r="B21" s="11">
        <f>IF(C21="","ADD",COUNTIF($C$9:C21,"&lt;&gt;"))</f>
        <v>13</v>
      </c>
      <c r="C21" s="11" t="s">
        <v>76</v>
      </c>
      <c r="D21" s="11" t="s">
        <v>51</v>
      </c>
      <c r="E21" s="18">
        <f>IF(C21="","",WORKDAY.INTL(G20,1,"0000111",'Holiday Schedule'!$C$9:$C$18))</f>
      </c>
      <c r="F21" s="18">
        <v>46218</v>
      </c>
      <c r="G21" s="18">
        <f>IF(OR(C21="",I21=""),"",WORKDAY.INTL(E21,IF(J21="",I21,J21)-1,"0000111",'Holiday Schedule'!$C$9:$C$18))</f>
      </c>
      <c r="H21" s="18">
        <v>46231</v>
      </c>
      <c r="I21" s="11">
        <v>7</v>
      </c>
      <c r="J21" s="11">
        <v>7</v>
      </c>
      <c r="L21" s="11" t="str">
        <f t="shared" ca="1" si="3"/>
        <v>Not Started</v>
      </c>
      <c r="DO21" s="11">
        <f t="shared" ca="1" si="4"/>
        <v>0</v>
      </c>
    </row>
    <row r="22" spans="1:119" s="13" customFormat="1" ht="18.95" customHeight="1" x14ac:dyDescent="0.25">
      <c r="B22" s="13">
        <f>IF(C22="","ADD",COUNTIF($C$9:C22,"&lt;&gt;"))</f>
        <v>14</v>
      </c>
      <c r="C22" s="13" t="s">
        <v>77</v>
      </c>
      <c r="D22" s="13" t="s">
        <v>34</v>
      </c>
      <c r="E22" s="19">
        <f>IF(C22="","",WORKDAY.INTL(G21,1,"0000111",'Holiday Schedule'!$C$9:$C$18))</f>
      </c>
      <c r="F22" s="19">
        <v>46232</v>
      </c>
      <c r="G22" s="19">
        <f>IF(OR(C22="",I22=""),"",WORKDAY.INTL(E22,IF(J22="",I22,J22)-1,"0000111",'Holiday Schedule'!$C$9:$C$18))</f>
      </c>
      <c r="H22" s="19">
        <v>46237</v>
      </c>
      <c r="I22" s="11">
        <v>2</v>
      </c>
      <c r="J22" s="13">
        <v>2</v>
      </c>
      <c r="L22" s="13" t="str">
        <f t="shared" ca="1" si="3"/>
        <v>Not Started</v>
      </c>
      <c r="DO22" s="13">
        <f t="shared" ca="1" si="4"/>
        <v>0</v>
      </c>
    </row>
    <row r="23" spans="1:119" s="11" customFormat="1" ht="18.95" customHeight="1" x14ac:dyDescent="0.25">
      <c r="B23" s="11">
        <f>IF(C23="","ADD",COUNTIF($C$9:C23,"&lt;&gt;"))</f>
        <v>15</v>
      </c>
      <c r="C23" s="11" t="s">
        <v>78</v>
      </c>
      <c r="D23" s="11" t="s">
        <v>49</v>
      </c>
      <c r="E23" s="18">
        <f>IF(C23="","",WORKDAY.INTL(G22,1,"0000111",'Holiday Schedule'!$C$9:$C$18))</f>
      </c>
      <c r="F23" s="18">
        <v>46238</v>
      </c>
      <c r="G23" s="18">
        <f>IF(OR(C23="",I23=""),"",WORKDAY.INTL(E23,IF(J23="",I23,J23)-1,"0000111",'Holiday Schedule'!$C$9:$C$18))</f>
      </c>
      <c r="H23" s="18">
        <v>46240</v>
      </c>
      <c r="I23" s="11">
        <v>2</v>
      </c>
      <c r="J23" s="11">
        <v>2</v>
      </c>
      <c r="L23" s="11" t="str">
        <f t="shared" ca="1" si="3"/>
        <v>Not Started</v>
      </c>
      <c r="DO23" s="11">
        <f t="shared" ca="1" si="4"/>
        <v>0</v>
      </c>
    </row>
    <row r="24" spans="1:119" s="13" customFormat="1" ht="18.95" customHeight="1" x14ac:dyDescent="0.25">
      <c r="B24" s="13">
        <f>IF(C24="","ADD",COUNTIF($C$9:C24,"&lt;&gt;"))</f>
        <v>16</v>
      </c>
      <c r="C24" s="13" t="s">
        <v>49</v>
      </c>
      <c r="E24" s="19">
        <f>IF(C24="","",WORKDAY.INTL(G23,1,"0000111",'Holiday Schedule'!$C$9:$C$18))</f>
      </c>
      <c r="F24" s="19">
        <v>46239</v>
      </c>
      <c r="G24" s="19">
        <f>IF(OR(C24="",I24=""),"",WORKDAY.INTL(E24,IF(J24="",I24,J24)-1,"0000111",'Holiday Schedule'!$C$9:$C$18))</f>
      </c>
      <c r="H24" s="19">
        <v>46240</v>
      </c>
      <c r="I24" s="11">
        <v>1</v>
      </c>
      <c r="J24" s="13">
        <v>1</v>
      </c>
      <c r="L24" s="13" t="str">
        <f t="shared" ca="1" si="3"/>
        <v>Not Started</v>
      </c>
      <c r="DO24" s="13">
        <f t="shared" ca="1" si="4"/>
        <v>0</v>
      </c>
    </row>
    <row r="25" spans="1:119" ht="33.6" customHeight="1" x14ac:dyDescent="0.25">
      <c r="A25" s="1"/>
      <c r="B25" s="11" t="str">
        <f>IF(C25="","ADD",COUNTIF($C$9:C25,"&lt;&gt;"))</f>
        <v>ADD</v>
      </c>
      <c r="C25" s="37"/>
      <c r="D25" s="37"/>
      <c r="E25" s="18" t="str">
        <f>IF(C25="","",WORKDAY.INTL(G24,1,"0000111",'Holiday Schedule'!$C$9:$C$18))</f>
        <v/>
      </c>
      <c r="F25" s="18"/>
      <c r="G25" s="18" t="str">
        <f>IF(OR(C25="",I25=""),"",WORKDAY.INTL(E25,IF(J25="",I25,J25)-1,"0000111",'Holiday Schedule'!$C$9:$C$18))</f>
        <v/>
      </c>
      <c r="H25" s="18"/>
      <c r="I25" s="11"/>
      <c r="J25" s="11"/>
      <c r="K25" s="7"/>
      <c r="L25" s="11" t="str">
        <f t="shared" ca="1" si="3"/>
        <v/>
      </c>
      <c r="M25" s="11" t="s">
        <v>37</v>
      </c>
      <c r="N25" s="36"/>
      <c r="O25" s="36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t="str">
        <f t="shared" si="4"/>
        <v/>
      </c>
    </row>
    <row r="26" spans="1:119" ht="18.95" customHeight="1" x14ac:dyDescent="0.25"/>
    <row r="27" spans="1:119" ht="18.95" customHeight="1" x14ac:dyDescent="0.25"/>
    <row r="28" spans="1:119" ht="18.95" customHeight="1" x14ac:dyDescent="0.25"/>
    <row r="29" spans="1:119" ht="18.95" customHeight="1" x14ac:dyDescent="0.25"/>
    <row r="30" spans="1:119" ht="18.95" customHeight="1" x14ac:dyDescent="0.25"/>
    <row r="31" spans="1:119" ht="18.95" customHeight="1" x14ac:dyDescent="0.25"/>
    <row r="32" spans="1:119" ht="18.95" customHeight="1" x14ac:dyDescent="0.25"/>
    <row r="33" spans="5:119" ht="18.95" customHeight="1" x14ac:dyDescent="0.25"/>
    <row r="34" spans="5:119" ht="18.95" customHeight="1" x14ac:dyDescent="0.25"/>
    <row r="35" spans="5:119" ht="18.95" customHeight="1" x14ac:dyDescent="0.25">
      <c r="E35" s="20"/>
      <c r="F35" s="20"/>
      <c r="G35" s="20"/>
      <c r="H35" s="20"/>
      <c r="K35" s="21"/>
      <c r="L35" t="str">
        <f t="shared" ref="L35:L96" ca="1" si="6">IF(C35="","",IF(K35&gt;=1,"Complete",IF(TODAY()&lt;E35,"Not Started",IF(K35&gt;=NETWORKDAYS.INTL(E35,MIN(TODAY(),G35),"0001111")/NETWORKDAYS.INTL(E35,G35,"0001111"),"On Track","Behind"))))</f>
        <v/>
      </c>
      <c r="O35" s="31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  <c r="BN35" s="35"/>
      <c r="BO35" s="35"/>
      <c r="BP35" s="35"/>
      <c r="BQ35" s="35"/>
      <c r="BR35" s="35"/>
      <c r="BS35" s="35"/>
      <c r="BT35" s="35"/>
      <c r="BU35" s="35"/>
      <c r="BV35" s="35"/>
      <c r="BW35" s="35"/>
      <c r="BX35" s="35"/>
      <c r="BY35" s="35"/>
      <c r="BZ35" s="35"/>
      <c r="CA35" s="35"/>
      <c r="CB35" s="35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  <c r="CX35" s="35"/>
      <c r="CY35" s="35"/>
      <c r="CZ35" s="35"/>
      <c r="DA35" s="35"/>
      <c r="DB35" s="35"/>
      <c r="DC35" s="35"/>
      <c r="DD35" s="35"/>
      <c r="DE35" s="35"/>
      <c r="DF35" s="35"/>
      <c r="DG35" s="35"/>
      <c r="DH35" s="35"/>
      <c r="DI35" s="35"/>
      <c r="DJ35" s="35"/>
      <c r="DK35" s="35"/>
      <c r="DL35" s="35"/>
      <c r="DM35" s="35"/>
      <c r="DN35" s="35"/>
      <c r="DO35" t="str">
        <f t="shared" si="4"/>
        <v/>
      </c>
    </row>
    <row r="36" spans="5:119" ht="18.95" customHeight="1" x14ac:dyDescent="0.25">
      <c r="E36" s="20"/>
      <c r="F36" s="20"/>
      <c r="G36" s="20"/>
      <c r="H36" s="20"/>
      <c r="K36" s="21"/>
      <c r="L36" t="str">
        <f t="shared" ca="1" si="6"/>
        <v/>
      </c>
      <c r="O36" s="23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5"/>
      <c r="BM36" s="35"/>
      <c r="BN36" s="35"/>
      <c r="BO36" s="35"/>
      <c r="BP36" s="35"/>
      <c r="BQ36" s="35"/>
      <c r="BR36" s="35"/>
      <c r="BS36" s="35"/>
      <c r="BT36" s="35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  <c r="CX36" s="35"/>
      <c r="CY36" s="35"/>
      <c r="CZ36" s="35"/>
      <c r="DA36" s="35"/>
      <c r="DB36" s="35"/>
      <c r="DC36" s="35"/>
      <c r="DD36" s="35"/>
      <c r="DE36" s="35"/>
      <c r="DF36" s="35"/>
      <c r="DG36" s="35"/>
      <c r="DH36" s="35"/>
      <c r="DI36" s="35"/>
      <c r="DJ36" s="35"/>
      <c r="DK36" s="35"/>
      <c r="DL36" s="35"/>
      <c r="DM36" s="35"/>
      <c r="DN36" s="35"/>
      <c r="DO36" t="str">
        <f t="shared" si="4"/>
        <v/>
      </c>
    </row>
    <row r="37" spans="5:119" ht="18.95" customHeight="1" x14ac:dyDescent="0.25">
      <c r="E37" s="20"/>
      <c r="F37" s="20"/>
      <c r="G37" s="20"/>
      <c r="H37" s="20"/>
      <c r="K37" s="21"/>
      <c r="L37" t="str">
        <f t="shared" ca="1" si="6"/>
        <v/>
      </c>
      <c r="O37" s="31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  <c r="CX37" s="35"/>
      <c r="CY37" s="35"/>
      <c r="CZ37" s="35"/>
      <c r="DA37" s="35"/>
      <c r="DB37" s="35"/>
      <c r="DC37" s="35"/>
      <c r="DD37" s="35"/>
      <c r="DE37" s="35"/>
      <c r="DF37" s="35"/>
      <c r="DG37" s="35"/>
      <c r="DH37" s="35"/>
      <c r="DI37" s="35"/>
      <c r="DJ37" s="35"/>
      <c r="DK37" s="35"/>
      <c r="DL37" s="35"/>
      <c r="DM37" s="35"/>
      <c r="DN37" s="35"/>
      <c r="DO37" t="str">
        <f t="shared" si="4"/>
        <v/>
      </c>
    </row>
    <row r="38" spans="5:119" ht="18.95" customHeight="1" x14ac:dyDescent="0.25">
      <c r="E38" s="20"/>
      <c r="F38" s="20"/>
      <c r="G38" s="20"/>
      <c r="H38" s="20"/>
      <c r="K38" s="21"/>
      <c r="L38" t="str">
        <f t="shared" ca="1" si="6"/>
        <v/>
      </c>
      <c r="O38" s="23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5"/>
      <c r="BM38" s="35"/>
      <c r="BN38" s="35"/>
      <c r="BO38" s="35"/>
      <c r="BP38" s="35"/>
      <c r="BQ38" s="35"/>
      <c r="BR38" s="35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35"/>
      <c r="CD38" s="35"/>
      <c r="CE38" s="35"/>
      <c r="CF38" s="35"/>
      <c r="CG38" s="35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35"/>
      <c r="CT38" s="35"/>
      <c r="CU38" s="35"/>
      <c r="CV38" s="35"/>
      <c r="CW38" s="35"/>
      <c r="CX38" s="35"/>
      <c r="CY38" s="35"/>
      <c r="CZ38" s="35"/>
      <c r="DA38" s="35"/>
      <c r="DB38" s="35"/>
      <c r="DC38" s="35"/>
      <c r="DD38" s="35"/>
      <c r="DE38" s="35"/>
      <c r="DF38" s="35"/>
      <c r="DG38" s="35"/>
      <c r="DH38" s="35"/>
      <c r="DI38" s="35"/>
      <c r="DJ38" s="35"/>
      <c r="DK38" s="35"/>
      <c r="DL38" s="35"/>
      <c r="DM38" s="35"/>
      <c r="DN38" s="35"/>
      <c r="DO38" t="str">
        <f t="shared" si="4"/>
        <v/>
      </c>
    </row>
    <row r="39" spans="5:119" ht="18.95" customHeight="1" x14ac:dyDescent="0.25">
      <c r="E39" s="20"/>
      <c r="F39" s="20"/>
      <c r="G39" s="20"/>
      <c r="H39" s="20"/>
      <c r="K39" s="21"/>
      <c r="L39" t="str">
        <f t="shared" ca="1" si="6"/>
        <v/>
      </c>
      <c r="O39" s="31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5"/>
      <c r="BM39" s="35"/>
      <c r="BN39" s="35"/>
      <c r="BO39" s="35"/>
      <c r="BP39" s="35"/>
      <c r="BQ39" s="35"/>
      <c r="BR39" s="35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35"/>
      <c r="CD39" s="35"/>
      <c r="CE39" s="35"/>
      <c r="CF39" s="35"/>
      <c r="CG39" s="35"/>
      <c r="CH39" s="35"/>
      <c r="CI39" s="35"/>
      <c r="CJ39" s="35"/>
      <c r="CK39" s="35"/>
      <c r="CL39" s="35"/>
      <c r="CM39" s="35"/>
      <c r="CN39" s="35"/>
      <c r="CO39" s="35"/>
      <c r="CP39" s="35"/>
      <c r="CQ39" s="35"/>
      <c r="CR39" s="35"/>
      <c r="CS39" s="35"/>
      <c r="CT39" s="35"/>
      <c r="CU39" s="35"/>
      <c r="CV39" s="35"/>
      <c r="CW39" s="35"/>
      <c r="CX39" s="35"/>
      <c r="CY39" s="35"/>
      <c r="CZ39" s="35"/>
      <c r="DA39" s="35"/>
      <c r="DB39" s="35"/>
      <c r="DC39" s="35"/>
      <c r="DD39" s="35"/>
      <c r="DE39" s="35"/>
      <c r="DF39" s="35"/>
      <c r="DG39" s="35"/>
      <c r="DH39" s="35"/>
      <c r="DI39" s="35"/>
      <c r="DJ39" s="35"/>
      <c r="DK39" s="35"/>
      <c r="DL39" s="35"/>
      <c r="DM39" s="35"/>
      <c r="DN39" s="35"/>
      <c r="DO39" t="str">
        <f t="shared" si="4"/>
        <v/>
      </c>
    </row>
    <row r="40" spans="5:119" ht="18.95" customHeight="1" x14ac:dyDescent="0.25">
      <c r="E40" s="20"/>
      <c r="F40" s="20"/>
      <c r="G40" s="20"/>
      <c r="H40" s="20"/>
      <c r="K40" s="21"/>
      <c r="L40" t="str">
        <f t="shared" ca="1" si="6"/>
        <v/>
      </c>
      <c r="O40" s="23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  <c r="CD40" s="35"/>
      <c r="CE40" s="35"/>
      <c r="CF40" s="35"/>
      <c r="CG40" s="35"/>
      <c r="CH40" s="35"/>
      <c r="CI40" s="35"/>
      <c r="CJ40" s="35"/>
      <c r="CK40" s="35"/>
      <c r="CL40" s="35"/>
      <c r="CM40" s="35"/>
      <c r="CN40" s="35"/>
      <c r="CO40" s="35"/>
      <c r="CP40" s="35"/>
      <c r="CQ40" s="35"/>
      <c r="CR40" s="35"/>
      <c r="CS40" s="35"/>
      <c r="CT40" s="35"/>
      <c r="CU40" s="35"/>
      <c r="CV40" s="35"/>
      <c r="CW40" s="35"/>
      <c r="CX40" s="35"/>
      <c r="CY40" s="35"/>
      <c r="CZ40" s="35"/>
      <c r="DA40" s="35"/>
      <c r="DB40" s="35"/>
      <c r="DC40" s="35"/>
      <c r="DD40" s="35"/>
      <c r="DE40" s="35"/>
      <c r="DF40" s="35"/>
      <c r="DG40" s="35"/>
      <c r="DH40" s="35"/>
      <c r="DI40" s="35"/>
      <c r="DJ40" s="35"/>
      <c r="DK40" s="35"/>
      <c r="DL40" s="35"/>
      <c r="DM40" s="35"/>
      <c r="DN40" s="35"/>
      <c r="DO40" t="str">
        <f t="shared" si="4"/>
        <v/>
      </c>
    </row>
    <row r="41" spans="5:119" ht="18.95" customHeight="1" x14ac:dyDescent="0.25">
      <c r="E41" s="20"/>
      <c r="F41" s="20"/>
      <c r="G41" s="20"/>
      <c r="H41" s="20"/>
      <c r="K41" s="21"/>
      <c r="L41" t="str">
        <f t="shared" ca="1" si="6"/>
        <v/>
      </c>
      <c r="O41" s="31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5"/>
      <c r="BM41" s="35"/>
      <c r="BN41" s="35"/>
      <c r="BO41" s="35"/>
      <c r="BP41" s="35"/>
      <c r="BQ41" s="35"/>
      <c r="BR41" s="35"/>
      <c r="BS41" s="35"/>
      <c r="BT41" s="35"/>
      <c r="BU41" s="35"/>
      <c r="BV41" s="35"/>
      <c r="BW41" s="35"/>
      <c r="BX41" s="35"/>
      <c r="BY41" s="35"/>
      <c r="BZ41" s="35"/>
      <c r="CA41" s="35"/>
      <c r="CB41" s="35"/>
      <c r="CC41" s="35"/>
      <c r="CD41" s="35"/>
      <c r="CE41" s="35"/>
      <c r="CF41" s="35"/>
      <c r="CG41" s="35"/>
      <c r="CH41" s="35"/>
      <c r="CI41" s="35"/>
      <c r="CJ41" s="35"/>
      <c r="CK41" s="35"/>
      <c r="CL41" s="35"/>
      <c r="CM41" s="35"/>
      <c r="CN41" s="35"/>
      <c r="CO41" s="35"/>
      <c r="CP41" s="35"/>
      <c r="CQ41" s="35"/>
      <c r="CR41" s="35"/>
      <c r="CS41" s="35"/>
      <c r="CT41" s="35"/>
      <c r="CU41" s="35"/>
      <c r="CV41" s="35"/>
      <c r="CW41" s="35"/>
      <c r="CX41" s="35"/>
      <c r="CY41" s="35"/>
      <c r="CZ41" s="35"/>
      <c r="DA41" s="35"/>
      <c r="DB41" s="35"/>
      <c r="DC41" s="35"/>
      <c r="DD41" s="35"/>
      <c r="DE41" s="35"/>
      <c r="DF41" s="35"/>
      <c r="DG41" s="35"/>
      <c r="DH41" s="35"/>
      <c r="DI41" s="35"/>
      <c r="DJ41" s="35"/>
      <c r="DK41" s="35"/>
      <c r="DL41" s="35"/>
      <c r="DM41" s="35"/>
      <c r="DN41" s="35"/>
      <c r="DO41" t="str">
        <f t="shared" si="4"/>
        <v/>
      </c>
    </row>
    <row r="42" spans="5:119" ht="18.95" customHeight="1" x14ac:dyDescent="0.25">
      <c r="E42" s="20"/>
      <c r="F42" s="20"/>
      <c r="G42" s="20"/>
      <c r="H42" s="20"/>
      <c r="K42" s="21"/>
      <c r="L42" t="str">
        <f t="shared" ca="1" si="6"/>
        <v/>
      </c>
      <c r="O42" s="23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/>
      <c r="CD42" s="35"/>
      <c r="CE42" s="35"/>
      <c r="CF42" s="35"/>
      <c r="CG42" s="35"/>
      <c r="CH42" s="35"/>
      <c r="CI42" s="35"/>
      <c r="CJ42" s="35"/>
      <c r="CK42" s="35"/>
      <c r="CL42" s="35"/>
      <c r="CM42" s="35"/>
      <c r="CN42" s="35"/>
      <c r="CO42" s="35"/>
      <c r="CP42" s="35"/>
      <c r="CQ42" s="35"/>
      <c r="CR42" s="35"/>
      <c r="CS42" s="35"/>
      <c r="CT42" s="35"/>
      <c r="CU42" s="35"/>
      <c r="CV42" s="35"/>
      <c r="CW42" s="35"/>
      <c r="CX42" s="35"/>
      <c r="CY42" s="35"/>
      <c r="CZ42" s="35"/>
      <c r="DA42" s="35"/>
      <c r="DB42" s="35"/>
      <c r="DC42" s="35"/>
      <c r="DD42" s="35"/>
      <c r="DE42" s="35"/>
      <c r="DF42" s="35"/>
      <c r="DG42" s="35"/>
      <c r="DH42" s="35"/>
      <c r="DI42" s="35"/>
      <c r="DJ42" s="35"/>
      <c r="DK42" s="35"/>
      <c r="DL42" s="35"/>
      <c r="DM42" s="35"/>
      <c r="DN42" s="35"/>
      <c r="DO42" t="str">
        <f t="shared" si="4"/>
        <v/>
      </c>
    </row>
    <row r="43" spans="5:119" ht="18.95" customHeight="1" x14ac:dyDescent="0.25">
      <c r="E43" s="20"/>
      <c r="F43" s="20"/>
      <c r="G43" s="20"/>
      <c r="H43" s="20"/>
      <c r="K43" s="21"/>
      <c r="L43" t="str">
        <f t="shared" ca="1" si="6"/>
        <v/>
      </c>
      <c r="O43" s="31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35"/>
      <c r="CD43" s="35"/>
      <c r="CE43" s="35"/>
      <c r="CF43" s="35"/>
      <c r="CG43" s="35"/>
      <c r="CH43" s="35"/>
      <c r="CI43" s="35"/>
      <c r="CJ43" s="35"/>
      <c r="CK43" s="35"/>
      <c r="CL43" s="35"/>
      <c r="CM43" s="35"/>
      <c r="CN43" s="35"/>
      <c r="CO43" s="35"/>
      <c r="CP43" s="35"/>
      <c r="CQ43" s="35"/>
      <c r="CR43" s="35"/>
      <c r="CS43" s="35"/>
      <c r="CT43" s="35"/>
      <c r="CU43" s="35"/>
      <c r="CV43" s="35"/>
      <c r="CW43" s="35"/>
      <c r="CX43" s="35"/>
      <c r="CY43" s="35"/>
      <c r="CZ43" s="35"/>
      <c r="DA43" s="35"/>
      <c r="DB43" s="35"/>
      <c r="DC43" s="35"/>
      <c r="DD43" s="35"/>
      <c r="DE43" s="35"/>
      <c r="DF43" s="35"/>
      <c r="DG43" s="35"/>
      <c r="DH43" s="35"/>
      <c r="DI43" s="35"/>
      <c r="DJ43" s="35"/>
      <c r="DK43" s="35"/>
      <c r="DL43" s="35"/>
      <c r="DM43" s="35"/>
      <c r="DN43" s="35"/>
      <c r="DO43" t="str">
        <f t="shared" si="4"/>
        <v/>
      </c>
    </row>
    <row r="44" spans="5:119" ht="18.95" customHeight="1" x14ac:dyDescent="0.25">
      <c r="E44" s="20"/>
      <c r="F44" s="20"/>
      <c r="G44" s="20"/>
      <c r="H44" s="20"/>
      <c r="K44" s="21"/>
      <c r="L44" t="str">
        <f t="shared" ca="1" si="6"/>
        <v/>
      </c>
      <c r="O44" s="23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5"/>
      <c r="BM44" s="35"/>
      <c r="BN44" s="35"/>
      <c r="BO44" s="35"/>
      <c r="BP44" s="35"/>
      <c r="BQ44" s="35"/>
      <c r="BR44" s="35"/>
      <c r="BS44" s="35"/>
      <c r="BT44" s="35"/>
      <c r="BU44" s="35"/>
      <c r="BV44" s="35"/>
      <c r="BW44" s="35"/>
      <c r="BX44" s="35"/>
      <c r="BY44" s="35"/>
      <c r="BZ44" s="35"/>
      <c r="CA44" s="35"/>
      <c r="CB44" s="35"/>
      <c r="CC44" s="35"/>
      <c r="CD44" s="35"/>
      <c r="CE44" s="35"/>
      <c r="CF44" s="35"/>
      <c r="CG44" s="35"/>
      <c r="CH44" s="35"/>
      <c r="CI44" s="35"/>
      <c r="CJ44" s="35"/>
      <c r="CK44" s="35"/>
      <c r="CL44" s="35"/>
      <c r="CM44" s="35"/>
      <c r="CN44" s="35"/>
      <c r="CO44" s="35"/>
      <c r="CP44" s="35"/>
      <c r="CQ44" s="35"/>
      <c r="CR44" s="35"/>
      <c r="CS44" s="35"/>
      <c r="CT44" s="35"/>
      <c r="CU44" s="35"/>
      <c r="CV44" s="35"/>
      <c r="CW44" s="35"/>
      <c r="CX44" s="35"/>
      <c r="CY44" s="35"/>
      <c r="CZ44" s="35"/>
      <c r="DA44" s="35"/>
      <c r="DB44" s="35"/>
      <c r="DC44" s="35"/>
      <c r="DD44" s="35"/>
      <c r="DE44" s="35"/>
      <c r="DF44" s="35"/>
      <c r="DG44" s="35"/>
      <c r="DH44" s="35"/>
      <c r="DI44" s="35"/>
      <c r="DJ44" s="35"/>
      <c r="DK44" s="35"/>
      <c r="DL44" s="35"/>
      <c r="DM44" s="35"/>
      <c r="DN44" s="35"/>
      <c r="DO44" t="str">
        <f t="shared" si="4"/>
        <v/>
      </c>
    </row>
    <row r="45" spans="5:119" ht="18.95" customHeight="1" x14ac:dyDescent="0.25">
      <c r="E45" s="20"/>
      <c r="F45" s="20"/>
      <c r="G45" s="20"/>
      <c r="H45" s="20"/>
      <c r="K45" s="21"/>
      <c r="L45" t="str">
        <f t="shared" ca="1" si="6"/>
        <v/>
      </c>
      <c r="O45" s="31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35"/>
      <c r="CT45" s="35"/>
      <c r="CU45" s="35"/>
      <c r="CV45" s="35"/>
      <c r="CW45" s="35"/>
      <c r="CX45" s="35"/>
      <c r="CY45" s="35"/>
      <c r="CZ45" s="35"/>
      <c r="DA45" s="35"/>
      <c r="DB45" s="35"/>
      <c r="DC45" s="35"/>
      <c r="DD45" s="35"/>
      <c r="DE45" s="35"/>
      <c r="DF45" s="35"/>
      <c r="DG45" s="35"/>
      <c r="DH45" s="35"/>
      <c r="DI45" s="35"/>
      <c r="DJ45" s="35"/>
      <c r="DK45" s="35"/>
      <c r="DL45" s="35"/>
      <c r="DM45" s="35"/>
      <c r="DN45" s="35"/>
      <c r="DO45" t="str">
        <f t="shared" si="4"/>
        <v/>
      </c>
    </row>
    <row r="46" spans="5:119" ht="18.95" customHeight="1" x14ac:dyDescent="0.25">
      <c r="E46" s="20"/>
      <c r="F46" s="20"/>
      <c r="G46" s="20"/>
      <c r="H46" s="20"/>
      <c r="K46" s="21"/>
      <c r="L46" t="str">
        <f t="shared" ca="1" si="6"/>
        <v/>
      </c>
      <c r="O46" s="23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  <c r="BN46" s="35"/>
      <c r="BO46" s="35"/>
      <c r="BP46" s="35"/>
      <c r="BQ46" s="35"/>
      <c r="BR46" s="35"/>
      <c r="BS46" s="35"/>
      <c r="BT46" s="35"/>
      <c r="BU46" s="35"/>
      <c r="BV46" s="35"/>
      <c r="BW46" s="35"/>
      <c r="BX46" s="35"/>
      <c r="BY46" s="35"/>
      <c r="BZ46" s="35"/>
      <c r="CA46" s="35"/>
      <c r="CB46" s="35"/>
      <c r="CC46" s="35"/>
      <c r="CD46" s="35"/>
      <c r="CE46" s="35"/>
      <c r="CF46" s="35"/>
      <c r="CG46" s="35"/>
      <c r="CH46" s="35"/>
      <c r="CI46" s="35"/>
      <c r="CJ46" s="35"/>
      <c r="CK46" s="35"/>
      <c r="CL46" s="35"/>
      <c r="CM46" s="35"/>
      <c r="CN46" s="35"/>
      <c r="CO46" s="35"/>
      <c r="CP46" s="35"/>
      <c r="CQ46" s="35"/>
      <c r="CR46" s="35"/>
      <c r="CS46" s="35"/>
      <c r="CT46" s="35"/>
      <c r="CU46" s="35"/>
      <c r="CV46" s="35"/>
      <c r="CW46" s="35"/>
      <c r="CX46" s="35"/>
      <c r="CY46" s="35"/>
      <c r="CZ46" s="35"/>
      <c r="DA46" s="35"/>
      <c r="DB46" s="35"/>
      <c r="DC46" s="35"/>
      <c r="DD46" s="35"/>
      <c r="DE46" s="35"/>
      <c r="DF46" s="35"/>
      <c r="DG46" s="35"/>
      <c r="DH46" s="35"/>
      <c r="DI46" s="35"/>
      <c r="DJ46" s="35"/>
      <c r="DK46" s="35"/>
      <c r="DL46" s="35"/>
      <c r="DM46" s="35"/>
      <c r="DN46" s="35"/>
      <c r="DO46" t="str">
        <f t="shared" si="4"/>
        <v/>
      </c>
    </row>
    <row r="47" spans="5:119" ht="18.95" customHeight="1" x14ac:dyDescent="0.25">
      <c r="E47" s="20"/>
      <c r="F47" s="20"/>
      <c r="G47" s="20"/>
      <c r="H47" s="20"/>
      <c r="K47" s="21"/>
      <c r="L47" t="str">
        <f t="shared" ca="1" si="6"/>
        <v/>
      </c>
      <c r="O47" s="31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35"/>
      <c r="CF47" s="35"/>
      <c r="CG47" s="35"/>
      <c r="CH47" s="35"/>
      <c r="CI47" s="35"/>
      <c r="CJ47" s="35"/>
      <c r="CK47" s="35"/>
      <c r="CL47" s="35"/>
      <c r="CM47" s="35"/>
      <c r="CN47" s="35"/>
      <c r="CO47" s="35"/>
      <c r="CP47" s="35"/>
      <c r="CQ47" s="35"/>
      <c r="CR47" s="35"/>
      <c r="CS47" s="35"/>
      <c r="CT47" s="35"/>
      <c r="CU47" s="35"/>
      <c r="CV47" s="35"/>
      <c r="CW47" s="35"/>
      <c r="CX47" s="35"/>
      <c r="CY47" s="35"/>
      <c r="CZ47" s="35"/>
      <c r="DA47" s="35"/>
      <c r="DB47" s="35"/>
      <c r="DC47" s="35"/>
      <c r="DD47" s="35"/>
      <c r="DE47" s="35"/>
      <c r="DF47" s="35"/>
      <c r="DG47" s="35"/>
      <c r="DH47" s="35"/>
      <c r="DI47" s="35"/>
      <c r="DJ47" s="35"/>
      <c r="DK47" s="35"/>
      <c r="DL47" s="35"/>
      <c r="DM47" s="35"/>
      <c r="DN47" s="35"/>
      <c r="DO47" t="str">
        <f t="shared" si="4"/>
        <v/>
      </c>
    </row>
    <row r="48" spans="5:119" ht="18.95" customHeight="1" x14ac:dyDescent="0.25">
      <c r="E48" s="20"/>
      <c r="F48" s="20"/>
      <c r="G48" s="20"/>
      <c r="H48" s="20"/>
      <c r="K48" s="21"/>
      <c r="L48" t="str">
        <f t="shared" ca="1" si="6"/>
        <v/>
      </c>
      <c r="O48" s="23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35"/>
      <c r="DN48" s="35"/>
      <c r="DO48" t="str">
        <f t="shared" si="4"/>
        <v/>
      </c>
    </row>
    <row r="49" spans="5:119" ht="18.95" customHeight="1" x14ac:dyDescent="0.25">
      <c r="E49" s="20"/>
      <c r="F49" s="20"/>
      <c r="G49" s="20"/>
      <c r="H49" s="20"/>
      <c r="K49" s="21"/>
      <c r="L49" t="str">
        <f t="shared" ca="1" si="6"/>
        <v/>
      </c>
      <c r="O49" s="31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5"/>
      <c r="BZ49" s="35"/>
      <c r="CA49" s="35"/>
      <c r="CB49" s="35"/>
      <c r="CC49" s="35"/>
      <c r="CD49" s="35"/>
      <c r="CE49" s="35"/>
      <c r="CF49" s="35"/>
      <c r="CG49" s="35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35"/>
      <c r="CT49" s="35"/>
      <c r="CU49" s="35"/>
      <c r="CV49" s="35"/>
      <c r="CW49" s="35"/>
      <c r="CX49" s="35"/>
      <c r="CY49" s="35"/>
      <c r="CZ49" s="35"/>
      <c r="DA49" s="35"/>
      <c r="DB49" s="35"/>
      <c r="DC49" s="35"/>
      <c r="DD49" s="35"/>
      <c r="DE49" s="35"/>
      <c r="DF49" s="35"/>
      <c r="DG49" s="35"/>
      <c r="DH49" s="35"/>
      <c r="DI49" s="35"/>
      <c r="DJ49" s="35"/>
      <c r="DK49" s="35"/>
      <c r="DL49" s="35"/>
      <c r="DM49" s="35"/>
      <c r="DN49" s="35"/>
      <c r="DO49" t="str">
        <f t="shared" si="4"/>
        <v/>
      </c>
    </row>
    <row r="50" spans="5:119" ht="18.95" customHeight="1" x14ac:dyDescent="0.25">
      <c r="E50" s="20"/>
      <c r="F50" s="20"/>
      <c r="G50" s="20"/>
      <c r="H50" s="20"/>
      <c r="K50" s="21"/>
      <c r="L50" t="str">
        <f t="shared" ca="1" si="6"/>
        <v/>
      </c>
      <c r="O50" s="23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35"/>
      <c r="CF50" s="35"/>
      <c r="CG50" s="35"/>
      <c r="CH50" s="35"/>
      <c r="CI50" s="35"/>
      <c r="CJ50" s="35"/>
      <c r="CK50" s="35"/>
      <c r="CL50" s="35"/>
      <c r="CM50" s="35"/>
      <c r="CN50" s="35"/>
      <c r="CO50" s="35"/>
      <c r="CP50" s="35"/>
      <c r="CQ50" s="35"/>
      <c r="CR50" s="35"/>
      <c r="CS50" s="35"/>
      <c r="CT50" s="35"/>
      <c r="CU50" s="35"/>
      <c r="CV50" s="35"/>
      <c r="CW50" s="35"/>
      <c r="CX50" s="35"/>
      <c r="CY50" s="35"/>
      <c r="CZ50" s="35"/>
      <c r="DA50" s="35"/>
      <c r="DB50" s="35"/>
      <c r="DC50" s="35"/>
      <c r="DD50" s="35"/>
      <c r="DE50" s="35"/>
      <c r="DF50" s="35"/>
      <c r="DG50" s="35"/>
      <c r="DH50" s="35"/>
      <c r="DI50" s="35"/>
      <c r="DJ50" s="35"/>
      <c r="DK50" s="35"/>
      <c r="DL50" s="35"/>
      <c r="DM50" s="35"/>
      <c r="DN50" s="35"/>
      <c r="DO50" t="str">
        <f t="shared" si="4"/>
        <v/>
      </c>
    </row>
    <row r="51" spans="5:119" ht="18.95" customHeight="1" x14ac:dyDescent="0.25">
      <c r="E51" s="20"/>
      <c r="F51" s="20"/>
      <c r="G51" s="20"/>
      <c r="H51" s="20"/>
      <c r="K51" s="21"/>
      <c r="L51" t="str">
        <f t="shared" ca="1" si="6"/>
        <v/>
      </c>
      <c r="O51" s="31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5"/>
      <c r="BM51" s="35"/>
      <c r="BN51" s="35"/>
      <c r="BO51" s="35"/>
      <c r="BP51" s="35"/>
      <c r="BQ51" s="35"/>
      <c r="BR51" s="35"/>
      <c r="BS51" s="35"/>
      <c r="BT51" s="35"/>
      <c r="BU51" s="35"/>
      <c r="BV51" s="35"/>
      <c r="BW51" s="35"/>
      <c r="BX51" s="35"/>
      <c r="BY51" s="35"/>
      <c r="BZ51" s="35"/>
      <c r="CA51" s="35"/>
      <c r="CB51" s="35"/>
      <c r="CC51" s="35"/>
      <c r="CD51" s="35"/>
      <c r="CE51" s="35"/>
      <c r="CF51" s="35"/>
      <c r="CG51" s="35"/>
      <c r="CH51" s="35"/>
      <c r="CI51" s="35"/>
      <c r="CJ51" s="35"/>
      <c r="CK51" s="35"/>
      <c r="CL51" s="35"/>
      <c r="CM51" s="35"/>
      <c r="CN51" s="35"/>
      <c r="CO51" s="35"/>
      <c r="CP51" s="35"/>
      <c r="CQ51" s="35"/>
      <c r="CR51" s="35"/>
      <c r="CS51" s="35"/>
      <c r="CT51" s="35"/>
      <c r="CU51" s="35"/>
      <c r="CV51" s="35"/>
      <c r="CW51" s="35"/>
      <c r="CX51" s="35"/>
      <c r="CY51" s="35"/>
      <c r="CZ51" s="35"/>
      <c r="DA51" s="35"/>
      <c r="DB51" s="35"/>
      <c r="DC51" s="35"/>
      <c r="DD51" s="35"/>
      <c r="DE51" s="35"/>
      <c r="DF51" s="35"/>
      <c r="DG51" s="35"/>
      <c r="DH51" s="35"/>
      <c r="DI51" s="35"/>
      <c r="DJ51" s="35"/>
      <c r="DK51" s="35"/>
      <c r="DL51" s="35"/>
      <c r="DM51" s="35"/>
      <c r="DN51" s="35"/>
      <c r="DO51" t="str">
        <f t="shared" si="4"/>
        <v/>
      </c>
    </row>
    <row r="52" spans="5:119" ht="18.95" customHeight="1" x14ac:dyDescent="0.25">
      <c r="E52" s="20"/>
      <c r="F52" s="20"/>
      <c r="G52" s="20"/>
      <c r="H52" s="20"/>
      <c r="K52" s="21"/>
      <c r="L52" t="str">
        <f t="shared" ca="1" si="6"/>
        <v/>
      </c>
      <c r="O52" s="23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35"/>
      <c r="BT52" s="35"/>
      <c r="BU52" s="35"/>
      <c r="BV52" s="35"/>
      <c r="BW52" s="35"/>
      <c r="BX52" s="35"/>
      <c r="BY52" s="35"/>
      <c r="BZ52" s="35"/>
      <c r="CA52" s="35"/>
      <c r="CB52" s="35"/>
      <c r="CC52" s="35"/>
      <c r="CD52" s="35"/>
      <c r="CE52" s="35"/>
      <c r="CF52" s="35"/>
      <c r="CG52" s="35"/>
      <c r="CH52" s="35"/>
      <c r="CI52" s="35"/>
      <c r="CJ52" s="35"/>
      <c r="CK52" s="35"/>
      <c r="CL52" s="35"/>
      <c r="CM52" s="35"/>
      <c r="CN52" s="35"/>
      <c r="CO52" s="35"/>
      <c r="CP52" s="35"/>
      <c r="CQ52" s="35"/>
      <c r="CR52" s="35"/>
      <c r="CS52" s="35"/>
      <c r="CT52" s="35"/>
      <c r="CU52" s="35"/>
      <c r="CV52" s="35"/>
      <c r="CW52" s="35"/>
      <c r="CX52" s="35"/>
      <c r="CY52" s="35"/>
      <c r="CZ52" s="35"/>
      <c r="DA52" s="35"/>
      <c r="DB52" s="35"/>
      <c r="DC52" s="35"/>
      <c r="DD52" s="35"/>
      <c r="DE52" s="35"/>
      <c r="DF52" s="35"/>
      <c r="DG52" s="35"/>
      <c r="DH52" s="35"/>
      <c r="DI52" s="35"/>
      <c r="DJ52" s="35"/>
      <c r="DK52" s="35"/>
      <c r="DL52" s="35"/>
      <c r="DM52" s="35"/>
      <c r="DN52" s="35"/>
      <c r="DO52" t="str">
        <f t="shared" si="4"/>
        <v/>
      </c>
    </row>
    <row r="53" spans="5:119" ht="18.95" customHeight="1" x14ac:dyDescent="0.25">
      <c r="E53" s="20"/>
      <c r="F53" s="20"/>
      <c r="G53" s="20"/>
      <c r="H53" s="20"/>
      <c r="K53" s="21"/>
      <c r="L53" t="str">
        <f t="shared" ca="1" si="6"/>
        <v/>
      </c>
      <c r="O53" s="31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  <c r="BV53" s="35"/>
      <c r="BW53" s="35"/>
      <c r="BX53" s="35"/>
      <c r="BY53" s="35"/>
      <c r="BZ53" s="35"/>
      <c r="CA53" s="35"/>
      <c r="CB53" s="35"/>
      <c r="CC53" s="35"/>
      <c r="CD53" s="35"/>
      <c r="CE53" s="35"/>
      <c r="CF53" s="35"/>
      <c r="CG53" s="35"/>
      <c r="CH53" s="35"/>
      <c r="CI53" s="35"/>
      <c r="CJ53" s="35"/>
      <c r="CK53" s="35"/>
      <c r="CL53" s="35"/>
      <c r="CM53" s="35"/>
      <c r="CN53" s="35"/>
      <c r="CO53" s="35"/>
      <c r="CP53" s="35"/>
      <c r="CQ53" s="35"/>
      <c r="CR53" s="35"/>
      <c r="CS53" s="35"/>
      <c r="CT53" s="35"/>
      <c r="CU53" s="35"/>
      <c r="CV53" s="35"/>
      <c r="CW53" s="35"/>
      <c r="CX53" s="35"/>
      <c r="CY53" s="35"/>
      <c r="CZ53" s="35"/>
      <c r="DA53" s="35"/>
      <c r="DB53" s="35"/>
      <c r="DC53" s="35"/>
      <c r="DD53" s="35"/>
      <c r="DE53" s="35"/>
      <c r="DF53" s="35"/>
      <c r="DG53" s="35"/>
      <c r="DH53" s="35"/>
      <c r="DI53" s="35"/>
      <c r="DJ53" s="35"/>
      <c r="DK53" s="35"/>
      <c r="DL53" s="35"/>
      <c r="DM53" s="35"/>
      <c r="DN53" s="35"/>
      <c r="DO53" t="str">
        <f t="shared" si="4"/>
        <v/>
      </c>
    </row>
    <row r="54" spans="5:119" ht="18.95" customHeight="1" x14ac:dyDescent="0.25">
      <c r="E54" s="20"/>
      <c r="F54" s="20"/>
      <c r="G54" s="20"/>
      <c r="H54" s="20"/>
      <c r="K54" s="21"/>
      <c r="L54" t="str">
        <f t="shared" ca="1" si="6"/>
        <v/>
      </c>
      <c r="O54" s="23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  <c r="BV54" s="35"/>
      <c r="BW54" s="35"/>
      <c r="BX54" s="35"/>
      <c r="BY54" s="35"/>
      <c r="BZ54" s="35"/>
      <c r="CA54" s="35"/>
      <c r="CB54" s="35"/>
      <c r="CC54" s="35"/>
      <c r="CD54" s="35"/>
      <c r="CE54" s="35"/>
      <c r="CF54" s="35"/>
      <c r="CG54" s="35"/>
      <c r="CH54" s="35"/>
      <c r="CI54" s="35"/>
      <c r="CJ54" s="35"/>
      <c r="CK54" s="35"/>
      <c r="CL54" s="35"/>
      <c r="CM54" s="35"/>
      <c r="CN54" s="35"/>
      <c r="CO54" s="35"/>
      <c r="CP54" s="35"/>
      <c r="CQ54" s="35"/>
      <c r="CR54" s="35"/>
      <c r="CS54" s="35"/>
      <c r="CT54" s="35"/>
      <c r="CU54" s="35"/>
      <c r="CV54" s="35"/>
      <c r="CW54" s="35"/>
      <c r="CX54" s="35"/>
      <c r="CY54" s="35"/>
      <c r="CZ54" s="35"/>
      <c r="DA54" s="35"/>
      <c r="DB54" s="35"/>
      <c r="DC54" s="35"/>
      <c r="DD54" s="35"/>
      <c r="DE54" s="35"/>
      <c r="DF54" s="35"/>
      <c r="DG54" s="35"/>
      <c r="DH54" s="35"/>
      <c r="DI54" s="35"/>
      <c r="DJ54" s="35"/>
      <c r="DK54" s="35"/>
      <c r="DL54" s="35"/>
      <c r="DM54" s="35"/>
      <c r="DN54" s="35"/>
      <c r="DO54" t="str">
        <f t="shared" si="4"/>
        <v/>
      </c>
    </row>
    <row r="55" spans="5:119" ht="18.95" customHeight="1" x14ac:dyDescent="0.25">
      <c r="E55" s="20"/>
      <c r="F55" s="20"/>
      <c r="G55" s="20"/>
      <c r="H55" s="20"/>
      <c r="K55" s="21"/>
      <c r="L55" t="str">
        <f t="shared" ca="1" si="6"/>
        <v/>
      </c>
      <c r="O55" s="31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5"/>
      <c r="BM55" s="35"/>
      <c r="BN55" s="35"/>
      <c r="BO55" s="35"/>
      <c r="BP55" s="35"/>
      <c r="BQ55" s="35"/>
      <c r="BR55" s="35"/>
      <c r="BS55" s="35"/>
      <c r="BT55" s="35"/>
      <c r="BU55" s="35"/>
      <c r="BV55" s="35"/>
      <c r="BW55" s="35"/>
      <c r="BX55" s="35"/>
      <c r="BY55" s="35"/>
      <c r="BZ55" s="35"/>
      <c r="CA55" s="35"/>
      <c r="CB55" s="35"/>
      <c r="CC55" s="35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5"/>
      <c r="CX55" s="35"/>
      <c r="CY55" s="35"/>
      <c r="CZ55" s="35"/>
      <c r="DA55" s="35"/>
      <c r="DB55" s="35"/>
      <c r="DC55" s="35"/>
      <c r="DD55" s="35"/>
      <c r="DE55" s="35"/>
      <c r="DF55" s="35"/>
      <c r="DG55" s="35"/>
      <c r="DH55" s="35"/>
      <c r="DI55" s="35"/>
      <c r="DJ55" s="35"/>
      <c r="DK55" s="35"/>
      <c r="DL55" s="35"/>
      <c r="DM55" s="35"/>
      <c r="DN55" s="35"/>
      <c r="DO55" t="str">
        <f t="shared" si="4"/>
        <v/>
      </c>
    </row>
    <row r="56" spans="5:119" ht="18.95" customHeight="1" x14ac:dyDescent="0.25">
      <c r="E56" s="20"/>
      <c r="F56" s="20"/>
      <c r="G56" s="20"/>
      <c r="H56" s="20"/>
      <c r="K56" s="21"/>
      <c r="L56" t="str">
        <f t="shared" ca="1" si="6"/>
        <v/>
      </c>
      <c r="O56" s="23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5"/>
      <c r="BM56" s="35"/>
      <c r="BN56" s="35"/>
      <c r="BO56" s="35"/>
      <c r="BP56" s="35"/>
      <c r="BQ56" s="35"/>
      <c r="BR56" s="35"/>
      <c r="BS56" s="35"/>
      <c r="BT56" s="35"/>
      <c r="BU56" s="35"/>
      <c r="BV56" s="35"/>
      <c r="BW56" s="35"/>
      <c r="BX56" s="35"/>
      <c r="BY56" s="35"/>
      <c r="BZ56" s="35"/>
      <c r="CA56" s="35"/>
      <c r="CB56" s="35"/>
      <c r="CC56" s="35"/>
      <c r="CD56" s="35"/>
      <c r="CE56" s="35"/>
      <c r="CF56" s="35"/>
      <c r="CG56" s="35"/>
      <c r="CH56" s="35"/>
      <c r="CI56" s="35"/>
      <c r="CJ56" s="35"/>
      <c r="CK56" s="35"/>
      <c r="CL56" s="35"/>
      <c r="CM56" s="35"/>
      <c r="CN56" s="35"/>
      <c r="CO56" s="35"/>
      <c r="CP56" s="35"/>
      <c r="CQ56" s="35"/>
      <c r="CR56" s="35"/>
      <c r="CS56" s="35"/>
      <c r="CT56" s="35"/>
      <c r="CU56" s="35"/>
      <c r="CV56" s="35"/>
      <c r="CW56" s="35"/>
      <c r="CX56" s="35"/>
      <c r="CY56" s="35"/>
      <c r="CZ56" s="35"/>
      <c r="DA56" s="35"/>
      <c r="DB56" s="35"/>
      <c r="DC56" s="35"/>
      <c r="DD56" s="35"/>
      <c r="DE56" s="35"/>
      <c r="DF56" s="35"/>
      <c r="DG56" s="35"/>
      <c r="DH56" s="35"/>
      <c r="DI56" s="35"/>
      <c r="DJ56" s="35"/>
      <c r="DK56" s="35"/>
      <c r="DL56" s="35"/>
      <c r="DM56" s="35"/>
      <c r="DN56" s="35"/>
      <c r="DO56" t="str">
        <f t="shared" si="4"/>
        <v/>
      </c>
    </row>
    <row r="57" spans="5:119" ht="18.95" customHeight="1" x14ac:dyDescent="0.25">
      <c r="E57" s="20"/>
      <c r="F57" s="20"/>
      <c r="G57" s="20"/>
      <c r="H57" s="20"/>
      <c r="K57" s="21"/>
      <c r="L57" t="str">
        <f t="shared" ca="1" si="6"/>
        <v/>
      </c>
      <c r="O57" s="31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5"/>
      <c r="BM57" s="35"/>
      <c r="BN57" s="35"/>
      <c r="BO57" s="35"/>
      <c r="BP57" s="35"/>
      <c r="BQ57" s="35"/>
      <c r="BR57" s="35"/>
      <c r="BS57" s="35"/>
      <c r="BT57" s="35"/>
      <c r="BU57" s="35"/>
      <c r="BV57" s="35"/>
      <c r="BW57" s="35"/>
      <c r="BX57" s="35"/>
      <c r="BY57" s="35"/>
      <c r="BZ57" s="35"/>
      <c r="CA57" s="35"/>
      <c r="CB57" s="35"/>
      <c r="CC57" s="35"/>
      <c r="CD57" s="35"/>
      <c r="CE57" s="35"/>
      <c r="CF57" s="35"/>
      <c r="CG57" s="35"/>
      <c r="CH57" s="35"/>
      <c r="CI57" s="35"/>
      <c r="CJ57" s="35"/>
      <c r="CK57" s="35"/>
      <c r="CL57" s="35"/>
      <c r="CM57" s="35"/>
      <c r="CN57" s="35"/>
      <c r="CO57" s="35"/>
      <c r="CP57" s="35"/>
      <c r="CQ57" s="35"/>
      <c r="CR57" s="35"/>
      <c r="CS57" s="35"/>
      <c r="CT57" s="35"/>
      <c r="CU57" s="35"/>
      <c r="CV57" s="35"/>
      <c r="CW57" s="35"/>
      <c r="CX57" s="35"/>
      <c r="CY57" s="35"/>
      <c r="CZ57" s="35"/>
      <c r="DA57" s="35"/>
      <c r="DB57" s="35"/>
      <c r="DC57" s="35"/>
      <c r="DD57" s="35"/>
      <c r="DE57" s="35"/>
      <c r="DF57" s="35"/>
      <c r="DG57" s="35"/>
      <c r="DH57" s="35"/>
      <c r="DI57" s="35"/>
      <c r="DJ57" s="35"/>
      <c r="DK57" s="35"/>
      <c r="DL57" s="35"/>
      <c r="DM57" s="35"/>
      <c r="DN57" s="35"/>
      <c r="DO57" t="str">
        <f t="shared" si="4"/>
        <v/>
      </c>
    </row>
    <row r="58" spans="5:119" ht="18.95" customHeight="1" x14ac:dyDescent="0.25">
      <c r="E58" s="20"/>
      <c r="F58" s="20"/>
      <c r="G58" s="20"/>
      <c r="H58" s="20"/>
      <c r="K58" s="21"/>
      <c r="L58" t="str">
        <f t="shared" ca="1" si="6"/>
        <v/>
      </c>
      <c r="O58" s="23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5"/>
      <c r="BM58" s="35"/>
      <c r="BN58" s="35"/>
      <c r="BO58" s="35"/>
      <c r="BP58" s="35"/>
      <c r="BQ58" s="35"/>
      <c r="BR58" s="35"/>
      <c r="BS58" s="35"/>
      <c r="BT58" s="35"/>
      <c r="BU58" s="35"/>
      <c r="BV58" s="35"/>
      <c r="BW58" s="35"/>
      <c r="BX58" s="35"/>
      <c r="BY58" s="35"/>
      <c r="BZ58" s="35"/>
      <c r="CA58" s="35"/>
      <c r="CB58" s="35"/>
      <c r="CC58" s="35"/>
      <c r="CD58" s="35"/>
      <c r="CE58" s="35"/>
      <c r="CF58" s="35"/>
      <c r="CG58" s="35"/>
      <c r="CH58" s="35"/>
      <c r="CI58" s="35"/>
      <c r="CJ58" s="35"/>
      <c r="CK58" s="35"/>
      <c r="CL58" s="35"/>
      <c r="CM58" s="35"/>
      <c r="CN58" s="35"/>
      <c r="CO58" s="35"/>
      <c r="CP58" s="35"/>
      <c r="CQ58" s="35"/>
      <c r="CR58" s="35"/>
      <c r="CS58" s="35"/>
      <c r="CT58" s="35"/>
      <c r="CU58" s="35"/>
      <c r="CV58" s="35"/>
      <c r="CW58" s="35"/>
      <c r="CX58" s="35"/>
      <c r="CY58" s="35"/>
      <c r="CZ58" s="35"/>
      <c r="DA58" s="35"/>
      <c r="DB58" s="35"/>
      <c r="DC58" s="35"/>
      <c r="DD58" s="35"/>
      <c r="DE58" s="35"/>
      <c r="DF58" s="35"/>
      <c r="DG58" s="35"/>
      <c r="DH58" s="35"/>
      <c r="DI58" s="35"/>
      <c r="DJ58" s="35"/>
      <c r="DK58" s="35"/>
      <c r="DL58" s="35"/>
      <c r="DM58" s="35"/>
      <c r="DN58" s="35"/>
      <c r="DO58" t="str">
        <f t="shared" si="4"/>
        <v/>
      </c>
    </row>
    <row r="59" spans="5:119" ht="18.95" customHeight="1" x14ac:dyDescent="0.25">
      <c r="E59" s="20"/>
      <c r="F59" s="20"/>
      <c r="G59" s="20"/>
      <c r="H59" s="20"/>
      <c r="K59" s="21"/>
      <c r="L59" t="str">
        <f t="shared" ca="1" si="6"/>
        <v/>
      </c>
      <c r="O59" s="31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5"/>
      <c r="BM59" s="35"/>
      <c r="BN59" s="35"/>
      <c r="BO59" s="35"/>
      <c r="BP59" s="35"/>
      <c r="BQ59" s="35"/>
      <c r="BR59" s="35"/>
      <c r="BS59" s="35"/>
      <c r="BT59" s="35"/>
      <c r="BU59" s="35"/>
      <c r="BV59" s="35"/>
      <c r="BW59" s="35"/>
      <c r="BX59" s="35"/>
      <c r="BY59" s="35"/>
      <c r="BZ59" s="35"/>
      <c r="CA59" s="35"/>
      <c r="CB59" s="35"/>
      <c r="CC59" s="35"/>
      <c r="CD59" s="35"/>
      <c r="CE59" s="35"/>
      <c r="CF59" s="35"/>
      <c r="CG59" s="35"/>
      <c r="CH59" s="35"/>
      <c r="CI59" s="35"/>
      <c r="CJ59" s="35"/>
      <c r="CK59" s="35"/>
      <c r="CL59" s="35"/>
      <c r="CM59" s="35"/>
      <c r="CN59" s="35"/>
      <c r="CO59" s="35"/>
      <c r="CP59" s="35"/>
      <c r="CQ59" s="35"/>
      <c r="CR59" s="35"/>
      <c r="CS59" s="35"/>
      <c r="CT59" s="35"/>
      <c r="CU59" s="35"/>
      <c r="CV59" s="35"/>
      <c r="CW59" s="35"/>
      <c r="CX59" s="35"/>
      <c r="CY59" s="35"/>
      <c r="CZ59" s="35"/>
      <c r="DA59" s="35"/>
      <c r="DB59" s="35"/>
      <c r="DC59" s="35"/>
      <c r="DD59" s="35"/>
      <c r="DE59" s="35"/>
      <c r="DF59" s="35"/>
      <c r="DG59" s="35"/>
      <c r="DH59" s="35"/>
      <c r="DI59" s="35"/>
      <c r="DJ59" s="35"/>
      <c r="DK59" s="35"/>
      <c r="DL59" s="35"/>
      <c r="DM59" s="35"/>
      <c r="DN59" s="35"/>
      <c r="DO59" t="str">
        <f t="shared" si="4"/>
        <v/>
      </c>
    </row>
    <row r="60" spans="5:119" ht="18.95" customHeight="1" x14ac:dyDescent="0.25">
      <c r="E60" s="20"/>
      <c r="F60" s="20"/>
      <c r="G60" s="20"/>
      <c r="H60" s="20"/>
      <c r="K60" s="21"/>
      <c r="L60" t="str">
        <f t="shared" ca="1" si="6"/>
        <v/>
      </c>
      <c r="O60" s="23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5"/>
      <c r="BM60" s="35"/>
      <c r="BN60" s="35"/>
      <c r="BO60" s="35"/>
      <c r="BP60" s="35"/>
      <c r="BQ60" s="35"/>
      <c r="BR60" s="35"/>
      <c r="BS60" s="35"/>
      <c r="BT60" s="35"/>
      <c r="BU60" s="35"/>
      <c r="BV60" s="35"/>
      <c r="BW60" s="35"/>
      <c r="BX60" s="35"/>
      <c r="BY60" s="35"/>
      <c r="BZ60" s="35"/>
      <c r="CA60" s="35"/>
      <c r="CB60" s="35"/>
      <c r="CC60" s="35"/>
      <c r="CD60" s="35"/>
      <c r="CE60" s="35"/>
      <c r="CF60" s="35"/>
      <c r="CG60" s="35"/>
      <c r="CH60" s="35"/>
      <c r="CI60" s="35"/>
      <c r="CJ60" s="35"/>
      <c r="CK60" s="35"/>
      <c r="CL60" s="35"/>
      <c r="CM60" s="35"/>
      <c r="CN60" s="35"/>
      <c r="CO60" s="35"/>
      <c r="CP60" s="35"/>
      <c r="CQ60" s="35"/>
      <c r="CR60" s="35"/>
      <c r="CS60" s="35"/>
      <c r="CT60" s="35"/>
      <c r="CU60" s="35"/>
      <c r="CV60" s="35"/>
      <c r="CW60" s="35"/>
      <c r="CX60" s="35"/>
      <c r="CY60" s="35"/>
      <c r="CZ60" s="35"/>
      <c r="DA60" s="35"/>
      <c r="DB60" s="35"/>
      <c r="DC60" s="35"/>
      <c r="DD60" s="35"/>
      <c r="DE60" s="35"/>
      <c r="DF60" s="35"/>
      <c r="DG60" s="35"/>
      <c r="DH60" s="35"/>
      <c r="DI60" s="35"/>
      <c r="DJ60" s="35"/>
      <c r="DK60" s="35"/>
      <c r="DL60" s="35"/>
      <c r="DM60" s="35"/>
      <c r="DN60" s="35"/>
      <c r="DO60" t="str">
        <f t="shared" si="4"/>
        <v/>
      </c>
    </row>
    <row r="61" spans="5:119" ht="18.95" customHeight="1" x14ac:dyDescent="0.25">
      <c r="E61" s="20"/>
      <c r="F61" s="20"/>
      <c r="G61" s="20"/>
      <c r="H61" s="20"/>
      <c r="K61" s="21"/>
      <c r="L61" t="str">
        <f t="shared" ca="1" si="6"/>
        <v/>
      </c>
      <c r="O61" s="31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5"/>
      <c r="BM61" s="35"/>
      <c r="BN61" s="35"/>
      <c r="BO61" s="35"/>
      <c r="BP61" s="35"/>
      <c r="BQ61" s="35"/>
      <c r="BR61" s="35"/>
      <c r="BS61" s="35"/>
      <c r="BT61" s="35"/>
      <c r="BU61" s="35"/>
      <c r="BV61" s="35"/>
      <c r="BW61" s="35"/>
      <c r="BX61" s="35"/>
      <c r="BY61" s="35"/>
      <c r="BZ61" s="35"/>
      <c r="CA61" s="35"/>
      <c r="CB61" s="35"/>
      <c r="CC61" s="35"/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5"/>
      <c r="CX61" s="35"/>
      <c r="CY61" s="35"/>
      <c r="CZ61" s="35"/>
      <c r="DA61" s="35"/>
      <c r="DB61" s="35"/>
      <c r="DC61" s="35"/>
      <c r="DD61" s="35"/>
      <c r="DE61" s="35"/>
      <c r="DF61" s="35"/>
      <c r="DG61" s="35"/>
      <c r="DH61" s="35"/>
      <c r="DI61" s="35"/>
      <c r="DJ61" s="35"/>
      <c r="DK61" s="35"/>
      <c r="DL61" s="35"/>
      <c r="DM61" s="35"/>
      <c r="DN61" s="35"/>
      <c r="DO61" t="str">
        <f t="shared" si="4"/>
        <v/>
      </c>
    </row>
    <row r="62" spans="5:119" ht="18.95" customHeight="1" x14ac:dyDescent="0.25">
      <c r="E62" s="20"/>
      <c r="F62" s="20"/>
      <c r="G62" s="20"/>
      <c r="H62" s="20"/>
      <c r="K62" s="21"/>
      <c r="L62" t="str">
        <f t="shared" ca="1" si="6"/>
        <v/>
      </c>
      <c r="O62" s="23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35"/>
      <c r="BU62" s="35"/>
      <c r="BV62" s="35"/>
      <c r="BW62" s="35"/>
      <c r="BX62" s="35"/>
      <c r="BY62" s="35"/>
      <c r="BZ62" s="35"/>
      <c r="CA62" s="35"/>
      <c r="CB62" s="35"/>
      <c r="CC62" s="35"/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5"/>
      <c r="CX62" s="35"/>
      <c r="CY62" s="35"/>
      <c r="CZ62" s="35"/>
      <c r="DA62" s="35"/>
      <c r="DB62" s="35"/>
      <c r="DC62" s="35"/>
      <c r="DD62" s="35"/>
      <c r="DE62" s="35"/>
      <c r="DF62" s="35"/>
      <c r="DG62" s="35"/>
      <c r="DH62" s="35"/>
      <c r="DI62" s="35"/>
      <c r="DJ62" s="35"/>
      <c r="DK62" s="35"/>
      <c r="DL62" s="35"/>
      <c r="DM62" s="35"/>
      <c r="DN62" s="35"/>
      <c r="DO62" t="str">
        <f t="shared" si="4"/>
        <v/>
      </c>
    </row>
    <row r="63" spans="5:119" ht="18.95" customHeight="1" x14ac:dyDescent="0.25">
      <c r="E63" s="20"/>
      <c r="F63" s="20"/>
      <c r="G63" s="20"/>
      <c r="H63" s="20"/>
      <c r="K63" s="21"/>
      <c r="L63" t="str">
        <f t="shared" ca="1" si="6"/>
        <v/>
      </c>
      <c r="O63" s="31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  <c r="DA63" s="35"/>
      <c r="DB63" s="35"/>
      <c r="DC63" s="35"/>
      <c r="DD63" s="35"/>
      <c r="DE63" s="35"/>
      <c r="DF63" s="35"/>
      <c r="DG63" s="35"/>
      <c r="DH63" s="35"/>
      <c r="DI63" s="35"/>
      <c r="DJ63" s="35"/>
      <c r="DK63" s="35"/>
      <c r="DL63" s="35"/>
      <c r="DM63" s="35"/>
      <c r="DN63" s="35"/>
      <c r="DO63" t="str">
        <f t="shared" si="4"/>
        <v/>
      </c>
    </row>
    <row r="64" spans="5:119" ht="18.95" customHeight="1" x14ac:dyDescent="0.25">
      <c r="E64" s="20"/>
      <c r="F64" s="20"/>
      <c r="G64" s="20"/>
      <c r="H64" s="20"/>
      <c r="K64" s="21"/>
      <c r="L64" t="str">
        <f t="shared" ca="1" si="6"/>
        <v/>
      </c>
      <c r="O64" s="23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5"/>
      <c r="BM64" s="35"/>
      <c r="BN64" s="35"/>
      <c r="BO64" s="35"/>
      <c r="BP64" s="35"/>
      <c r="BQ64" s="35"/>
      <c r="BR64" s="35"/>
      <c r="BS64" s="35"/>
      <c r="BT64" s="35"/>
      <c r="BU64" s="35"/>
      <c r="BV64" s="35"/>
      <c r="BW64" s="35"/>
      <c r="BX64" s="35"/>
      <c r="BY64" s="35"/>
      <c r="BZ64" s="35"/>
      <c r="CA64" s="35"/>
      <c r="CB64" s="35"/>
      <c r="CC64" s="35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5"/>
      <c r="CX64" s="35"/>
      <c r="CY64" s="35"/>
      <c r="CZ64" s="35"/>
      <c r="DA64" s="35"/>
      <c r="DB64" s="35"/>
      <c r="DC64" s="35"/>
      <c r="DD64" s="35"/>
      <c r="DE64" s="35"/>
      <c r="DF64" s="35"/>
      <c r="DG64" s="35"/>
      <c r="DH64" s="35"/>
      <c r="DI64" s="35"/>
      <c r="DJ64" s="35"/>
      <c r="DK64" s="35"/>
      <c r="DL64" s="35"/>
      <c r="DM64" s="35"/>
      <c r="DN64" s="35"/>
      <c r="DO64" t="str">
        <f t="shared" si="4"/>
        <v/>
      </c>
    </row>
    <row r="65" spans="5:119" ht="18.95" customHeight="1" x14ac:dyDescent="0.25">
      <c r="E65" s="20"/>
      <c r="F65" s="20"/>
      <c r="G65" s="20"/>
      <c r="H65" s="20"/>
      <c r="K65" s="21"/>
      <c r="L65" t="str">
        <f t="shared" ca="1" si="6"/>
        <v/>
      </c>
      <c r="O65" s="31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5"/>
      <c r="BM65" s="35"/>
      <c r="BN65" s="35"/>
      <c r="BO65" s="35"/>
      <c r="BP65" s="35"/>
      <c r="BQ65" s="35"/>
      <c r="BR65" s="35"/>
      <c r="BS65" s="35"/>
      <c r="BT65" s="35"/>
      <c r="BU65" s="35"/>
      <c r="BV65" s="35"/>
      <c r="BW65" s="35"/>
      <c r="BX65" s="35"/>
      <c r="BY65" s="35"/>
      <c r="BZ65" s="35"/>
      <c r="CA65" s="35"/>
      <c r="CB65" s="35"/>
      <c r="CC65" s="35"/>
      <c r="CD65" s="35"/>
      <c r="CE65" s="35"/>
      <c r="CF65" s="35"/>
      <c r="CG65" s="35"/>
      <c r="CH65" s="35"/>
      <c r="CI65" s="35"/>
      <c r="CJ65" s="35"/>
      <c r="CK65" s="35"/>
      <c r="CL65" s="35"/>
      <c r="CM65" s="35"/>
      <c r="CN65" s="35"/>
      <c r="CO65" s="35"/>
      <c r="CP65" s="35"/>
      <c r="CQ65" s="35"/>
      <c r="CR65" s="35"/>
      <c r="CS65" s="35"/>
      <c r="CT65" s="35"/>
      <c r="CU65" s="35"/>
      <c r="CV65" s="35"/>
      <c r="CW65" s="35"/>
      <c r="CX65" s="35"/>
      <c r="CY65" s="35"/>
      <c r="CZ65" s="35"/>
      <c r="DA65" s="35"/>
      <c r="DB65" s="35"/>
      <c r="DC65" s="35"/>
      <c r="DD65" s="35"/>
      <c r="DE65" s="35"/>
      <c r="DF65" s="35"/>
      <c r="DG65" s="35"/>
      <c r="DH65" s="35"/>
      <c r="DI65" s="35"/>
      <c r="DJ65" s="35"/>
      <c r="DK65" s="35"/>
      <c r="DL65" s="35"/>
      <c r="DM65" s="35"/>
      <c r="DN65" s="35"/>
      <c r="DO65" t="str">
        <f t="shared" si="4"/>
        <v/>
      </c>
    </row>
    <row r="66" spans="5:119" ht="18.95" customHeight="1" x14ac:dyDescent="0.25">
      <c r="E66" s="20"/>
      <c r="F66" s="20"/>
      <c r="G66" s="20"/>
      <c r="H66" s="20"/>
      <c r="K66" s="21"/>
      <c r="L66" t="str">
        <f t="shared" ca="1" si="6"/>
        <v/>
      </c>
      <c r="O66" s="23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35"/>
      <c r="BT66" s="35"/>
      <c r="BU66" s="35"/>
      <c r="BV66" s="35"/>
      <c r="BW66" s="35"/>
      <c r="BX66" s="35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5"/>
      <c r="CS66" s="35"/>
      <c r="CT66" s="35"/>
      <c r="CU66" s="35"/>
      <c r="CV66" s="35"/>
      <c r="CW66" s="35"/>
      <c r="CX66" s="35"/>
      <c r="CY66" s="35"/>
      <c r="CZ66" s="35"/>
      <c r="DA66" s="35"/>
      <c r="DB66" s="35"/>
      <c r="DC66" s="35"/>
      <c r="DD66" s="35"/>
      <c r="DE66" s="35"/>
      <c r="DF66" s="35"/>
      <c r="DG66" s="35"/>
      <c r="DH66" s="35"/>
      <c r="DI66" s="35"/>
      <c r="DJ66" s="35"/>
      <c r="DK66" s="35"/>
      <c r="DL66" s="35"/>
      <c r="DM66" s="35"/>
      <c r="DN66" s="35"/>
      <c r="DO66" t="str">
        <f t="shared" si="4"/>
        <v/>
      </c>
    </row>
    <row r="67" spans="5:119" ht="18.95" customHeight="1" x14ac:dyDescent="0.25">
      <c r="E67" s="20"/>
      <c r="F67" s="20"/>
      <c r="G67" s="20"/>
      <c r="H67" s="20"/>
      <c r="K67" s="21"/>
      <c r="L67" t="str">
        <f t="shared" ca="1" si="6"/>
        <v/>
      </c>
      <c r="O67" s="31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5"/>
      <c r="BM67" s="35"/>
      <c r="BN67" s="35"/>
      <c r="BO67" s="35"/>
      <c r="BP67" s="35"/>
      <c r="BQ67" s="35"/>
      <c r="BR67" s="35"/>
      <c r="BS67" s="35"/>
      <c r="BT67" s="35"/>
      <c r="BU67" s="35"/>
      <c r="BV67" s="35"/>
      <c r="BW67" s="35"/>
      <c r="BX67" s="35"/>
      <c r="BY67" s="35"/>
      <c r="BZ67" s="35"/>
      <c r="CA67" s="35"/>
      <c r="CB67" s="35"/>
      <c r="CC67" s="35"/>
      <c r="CD67" s="35"/>
      <c r="CE67" s="35"/>
      <c r="CF67" s="35"/>
      <c r="CG67" s="35"/>
      <c r="CH67" s="35"/>
      <c r="CI67" s="35"/>
      <c r="CJ67" s="35"/>
      <c r="CK67" s="35"/>
      <c r="CL67" s="35"/>
      <c r="CM67" s="35"/>
      <c r="CN67" s="35"/>
      <c r="CO67" s="35"/>
      <c r="CP67" s="35"/>
      <c r="CQ67" s="35"/>
      <c r="CR67" s="35"/>
      <c r="CS67" s="35"/>
      <c r="CT67" s="35"/>
      <c r="CU67" s="35"/>
      <c r="CV67" s="35"/>
      <c r="CW67" s="35"/>
      <c r="CX67" s="35"/>
      <c r="CY67" s="35"/>
      <c r="CZ67" s="35"/>
      <c r="DA67" s="35"/>
      <c r="DB67" s="35"/>
      <c r="DC67" s="35"/>
      <c r="DD67" s="35"/>
      <c r="DE67" s="35"/>
      <c r="DF67" s="35"/>
      <c r="DG67" s="35"/>
      <c r="DH67" s="35"/>
      <c r="DI67" s="35"/>
      <c r="DJ67" s="35"/>
      <c r="DK67" s="35"/>
      <c r="DL67" s="35"/>
      <c r="DM67" s="35"/>
      <c r="DN67" s="35"/>
      <c r="DO67" t="str">
        <f t="shared" si="4"/>
        <v/>
      </c>
    </row>
    <row r="68" spans="5:119" ht="18.95" customHeight="1" x14ac:dyDescent="0.25">
      <c r="E68" s="20"/>
      <c r="F68" s="20"/>
      <c r="G68" s="20"/>
      <c r="H68" s="20"/>
      <c r="K68" s="21"/>
      <c r="L68" t="str">
        <f t="shared" ca="1" si="6"/>
        <v/>
      </c>
      <c r="O68" s="23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5"/>
      <c r="BM68" s="35"/>
      <c r="BN68" s="35"/>
      <c r="BO68" s="35"/>
      <c r="BP68" s="35"/>
      <c r="BQ68" s="35"/>
      <c r="BR68" s="35"/>
      <c r="BS68" s="35"/>
      <c r="BT68" s="35"/>
      <c r="BU68" s="35"/>
      <c r="BV68" s="35"/>
      <c r="BW68" s="35"/>
      <c r="BX68" s="35"/>
      <c r="BY68" s="35"/>
      <c r="BZ68" s="35"/>
      <c r="CA68" s="35"/>
      <c r="CB68" s="35"/>
      <c r="CC68" s="35"/>
      <c r="CD68" s="35"/>
      <c r="CE68" s="35"/>
      <c r="CF68" s="35"/>
      <c r="CG68" s="35"/>
      <c r="CH68" s="35"/>
      <c r="CI68" s="35"/>
      <c r="CJ68" s="35"/>
      <c r="CK68" s="35"/>
      <c r="CL68" s="35"/>
      <c r="CM68" s="35"/>
      <c r="CN68" s="35"/>
      <c r="CO68" s="35"/>
      <c r="CP68" s="35"/>
      <c r="CQ68" s="35"/>
      <c r="CR68" s="35"/>
      <c r="CS68" s="35"/>
      <c r="CT68" s="35"/>
      <c r="CU68" s="35"/>
      <c r="CV68" s="35"/>
      <c r="CW68" s="35"/>
      <c r="CX68" s="35"/>
      <c r="CY68" s="35"/>
      <c r="CZ68" s="35"/>
      <c r="DA68" s="35"/>
      <c r="DB68" s="35"/>
      <c r="DC68" s="35"/>
      <c r="DD68" s="35"/>
      <c r="DE68" s="35"/>
      <c r="DF68" s="35"/>
      <c r="DG68" s="35"/>
      <c r="DH68" s="35"/>
      <c r="DI68" s="35"/>
      <c r="DJ68" s="35"/>
      <c r="DK68" s="35"/>
      <c r="DL68" s="35"/>
      <c r="DM68" s="35"/>
      <c r="DN68" s="35"/>
      <c r="DO68" t="str">
        <f t="shared" si="4"/>
        <v/>
      </c>
    </row>
    <row r="69" spans="5:119" ht="18.95" customHeight="1" x14ac:dyDescent="0.25">
      <c r="E69" s="20"/>
      <c r="F69" s="20"/>
      <c r="G69" s="20"/>
      <c r="H69" s="20"/>
      <c r="K69" s="21"/>
      <c r="L69" t="str">
        <f t="shared" ca="1" si="6"/>
        <v/>
      </c>
      <c r="O69" s="31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5"/>
      <c r="BM69" s="35"/>
      <c r="BN69" s="35"/>
      <c r="BO69" s="35"/>
      <c r="BP69" s="35"/>
      <c r="BQ69" s="35"/>
      <c r="BR69" s="35"/>
      <c r="BS69" s="35"/>
      <c r="BT69" s="35"/>
      <c r="BU69" s="35"/>
      <c r="BV69" s="35"/>
      <c r="BW69" s="35"/>
      <c r="BX69" s="35"/>
      <c r="BY69" s="35"/>
      <c r="BZ69" s="35"/>
      <c r="CA69" s="35"/>
      <c r="CB69" s="35"/>
      <c r="CC69" s="35"/>
      <c r="CD69" s="35"/>
      <c r="CE69" s="35"/>
      <c r="CF69" s="35"/>
      <c r="CG69" s="35"/>
      <c r="CH69" s="35"/>
      <c r="CI69" s="35"/>
      <c r="CJ69" s="35"/>
      <c r="CK69" s="35"/>
      <c r="CL69" s="35"/>
      <c r="CM69" s="35"/>
      <c r="CN69" s="35"/>
      <c r="CO69" s="35"/>
      <c r="CP69" s="35"/>
      <c r="CQ69" s="35"/>
      <c r="CR69" s="35"/>
      <c r="CS69" s="35"/>
      <c r="CT69" s="35"/>
      <c r="CU69" s="35"/>
      <c r="CV69" s="35"/>
      <c r="CW69" s="35"/>
      <c r="CX69" s="35"/>
      <c r="CY69" s="35"/>
      <c r="CZ69" s="35"/>
      <c r="DA69" s="35"/>
      <c r="DB69" s="35"/>
      <c r="DC69" s="35"/>
      <c r="DD69" s="35"/>
      <c r="DE69" s="35"/>
      <c r="DF69" s="35"/>
      <c r="DG69" s="35"/>
      <c r="DH69" s="35"/>
      <c r="DI69" s="35"/>
      <c r="DJ69" s="35"/>
      <c r="DK69" s="35"/>
      <c r="DL69" s="35"/>
      <c r="DM69" s="35"/>
      <c r="DN69" s="35"/>
      <c r="DO69" t="str">
        <f t="shared" si="4"/>
        <v/>
      </c>
    </row>
    <row r="70" spans="5:119" ht="18.95" customHeight="1" x14ac:dyDescent="0.25">
      <c r="E70" s="20"/>
      <c r="F70" s="20"/>
      <c r="G70" s="20"/>
      <c r="H70" s="20"/>
      <c r="K70" s="21"/>
      <c r="L70" t="str">
        <f t="shared" ca="1" si="6"/>
        <v/>
      </c>
      <c r="O70" s="23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  <c r="DA70" s="35"/>
      <c r="DB70" s="35"/>
      <c r="DC70" s="35"/>
      <c r="DD70" s="35"/>
      <c r="DE70" s="35"/>
      <c r="DF70" s="35"/>
      <c r="DG70" s="35"/>
      <c r="DH70" s="35"/>
      <c r="DI70" s="35"/>
      <c r="DJ70" s="35"/>
      <c r="DK70" s="35"/>
      <c r="DL70" s="35"/>
      <c r="DM70" s="35"/>
      <c r="DN70" s="35"/>
      <c r="DO70" t="str">
        <f t="shared" si="4"/>
        <v/>
      </c>
    </row>
    <row r="71" spans="5:119" ht="18.95" customHeight="1" x14ac:dyDescent="0.25">
      <c r="E71" s="20"/>
      <c r="F71" s="20"/>
      <c r="G71" s="20"/>
      <c r="H71" s="20"/>
      <c r="K71" s="21"/>
      <c r="L71" t="str">
        <f t="shared" ca="1" si="6"/>
        <v/>
      </c>
      <c r="O71" s="31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/>
      <c r="BX71" s="35"/>
      <c r="BY71" s="35"/>
      <c r="BZ71" s="35"/>
      <c r="CA71" s="35"/>
      <c r="CB71" s="35"/>
      <c r="CC71" s="35"/>
      <c r="CD71" s="35"/>
      <c r="CE71" s="35"/>
      <c r="CF71" s="35"/>
      <c r="CG71" s="35"/>
      <c r="CH71" s="35"/>
      <c r="CI71" s="35"/>
      <c r="CJ71" s="35"/>
      <c r="CK71" s="35"/>
      <c r="CL71" s="35"/>
      <c r="CM71" s="35"/>
      <c r="CN71" s="35"/>
      <c r="CO71" s="35"/>
      <c r="CP71" s="35"/>
      <c r="CQ71" s="35"/>
      <c r="CR71" s="35"/>
      <c r="CS71" s="35"/>
      <c r="CT71" s="35"/>
      <c r="CU71" s="35"/>
      <c r="CV71" s="35"/>
      <c r="CW71" s="35"/>
      <c r="CX71" s="35"/>
      <c r="CY71" s="35"/>
      <c r="CZ71" s="35"/>
      <c r="DA71" s="35"/>
      <c r="DB71" s="35"/>
      <c r="DC71" s="35"/>
      <c r="DD71" s="35"/>
      <c r="DE71" s="35"/>
      <c r="DF71" s="35"/>
      <c r="DG71" s="35"/>
      <c r="DH71" s="35"/>
      <c r="DI71" s="35"/>
      <c r="DJ71" s="35"/>
      <c r="DK71" s="35"/>
      <c r="DL71" s="35"/>
      <c r="DM71" s="35"/>
      <c r="DN71" s="35"/>
      <c r="DO71" t="str">
        <f t="shared" si="4"/>
        <v/>
      </c>
    </row>
    <row r="72" spans="5:119" ht="18.95" customHeight="1" x14ac:dyDescent="0.25">
      <c r="E72" s="20"/>
      <c r="F72" s="20"/>
      <c r="G72" s="20"/>
      <c r="H72" s="20"/>
      <c r="K72" s="21"/>
      <c r="L72" t="str">
        <f t="shared" ca="1" si="6"/>
        <v/>
      </c>
      <c r="O72" s="23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5"/>
      <c r="BY72" s="35"/>
      <c r="BZ72" s="35"/>
      <c r="CA72" s="35"/>
      <c r="CB72" s="35"/>
      <c r="CC72" s="35"/>
      <c r="CD72" s="35"/>
      <c r="CE72" s="35"/>
      <c r="CF72" s="35"/>
      <c r="CG72" s="35"/>
      <c r="CH72" s="35"/>
      <c r="CI72" s="35"/>
      <c r="CJ72" s="35"/>
      <c r="CK72" s="35"/>
      <c r="CL72" s="35"/>
      <c r="CM72" s="35"/>
      <c r="CN72" s="35"/>
      <c r="CO72" s="35"/>
      <c r="CP72" s="35"/>
      <c r="CQ72" s="35"/>
      <c r="CR72" s="35"/>
      <c r="CS72" s="35"/>
      <c r="CT72" s="35"/>
      <c r="CU72" s="35"/>
      <c r="CV72" s="35"/>
      <c r="CW72" s="35"/>
      <c r="CX72" s="35"/>
      <c r="CY72" s="35"/>
      <c r="CZ72" s="35"/>
      <c r="DA72" s="35"/>
      <c r="DB72" s="35"/>
      <c r="DC72" s="35"/>
      <c r="DD72" s="35"/>
      <c r="DE72" s="35"/>
      <c r="DF72" s="35"/>
      <c r="DG72" s="35"/>
      <c r="DH72" s="35"/>
      <c r="DI72" s="35"/>
      <c r="DJ72" s="35"/>
      <c r="DK72" s="35"/>
      <c r="DL72" s="35"/>
      <c r="DM72" s="35"/>
      <c r="DN72" s="35"/>
      <c r="DO72" t="str">
        <f t="shared" si="4"/>
        <v/>
      </c>
    </row>
    <row r="73" spans="5:119" ht="18.95" customHeight="1" x14ac:dyDescent="0.25">
      <c r="E73" s="20"/>
      <c r="F73" s="20"/>
      <c r="G73" s="20"/>
      <c r="H73" s="20"/>
      <c r="K73" s="21"/>
      <c r="L73" t="str">
        <f t="shared" ca="1" si="6"/>
        <v/>
      </c>
      <c r="O73" s="31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35"/>
      <c r="BY73" s="35"/>
      <c r="BZ73" s="35"/>
      <c r="CA73" s="35"/>
      <c r="CB73" s="35"/>
      <c r="CC73" s="35"/>
      <c r="CD73" s="35"/>
      <c r="CE73" s="35"/>
      <c r="CF73" s="35"/>
      <c r="CG73" s="35"/>
      <c r="CH73" s="35"/>
      <c r="CI73" s="35"/>
      <c r="CJ73" s="35"/>
      <c r="CK73" s="35"/>
      <c r="CL73" s="35"/>
      <c r="CM73" s="35"/>
      <c r="CN73" s="35"/>
      <c r="CO73" s="35"/>
      <c r="CP73" s="35"/>
      <c r="CQ73" s="35"/>
      <c r="CR73" s="35"/>
      <c r="CS73" s="35"/>
      <c r="CT73" s="35"/>
      <c r="CU73" s="35"/>
      <c r="CV73" s="35"/>
      <c r="CW73" s="35"/>
      <c r="CX73" s="35"/>
      <c r="CY73" s="35"/>
      <c r="CZ73" s="35"/>
      <c r="DA73" s="35"/>
      <c r="DB73" s="35"/>
      <c r="DC73" s="35"/>
      <c r="DD73" s="35"/>
      <c r="DE73" s="35"/>
      <c r="DF73" s="35"/>
      <c r="DG73" s="35"/>
      <c r="DH73" s="35"/>
      <c r="DI73" s="35"/>
      <c r="DJ73" s="35"/>
      <c r="DK73" s="35"/>
      <c r="DL73" s="35"/>
      <c r="DM73" s="35"/>
      <c r="DN73" s="35"/>
      <c r="DO73" t="str">
        <f t="shared" si="4"/>
        <v/>
      </c>
    </row>
    <row r="74" spans="5:119" ht="18.95" customHeight="1" x14ac:dyDescent="0.25">
      <c r="E74" s="20"/>
      <c r="F74" s="20"/>
      <c r="G74" s="20"/>
      <c r="H74" s="20"/>
      <c r="K74" s="21"/>
      <c r="L74" t="str">
        <f t="shared" ca="1" si="6"/>
        <v/>
      </c>
      <c r="O74" s="23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5"/>
      <c r="BM74" s="35"/>
      <c r="BN74" s="35"/>
      <c r="BO74" s="35"/>
      <c r="BP74" s="35"/>
      <c r="BQ74" s="35"/>
      <c r="BR74" s="35"/>
      <c r="BS74" s="35"/>
      <c r="BT74" s="35"/>
      <c r="BU74" s="35"/>
      <c r="BV74" s="35"/>
      <c r="BW74" s="35"/>
      <c r="BX74" s="35"/>
      <c r="BY74" s="35"/>
      <c r="BZ74" s="35"/>
      <c r="CA74" s="35"/>
      <c r="CB74" s="35"/>
      <c r="CC74" s="35"/>
      <c r="CD74" s="35"/>
      <c r="CE74" s="35"/>
      <c r="CF74" s="35"/>
      <c r="CG74" s="35"/>
      <c r="CH74" s="35"/>
      <c r="CI74" s="35"/>
      <c r="CJ74" s="35"/>
      <c r="CK74" s="35"/>
      <c r="CL74" s="35"/>
      <c r="CM74" s="35"/>
      <c r="CN74" s="35"/>
      <c r="CO74" s="35"/>
      <c r="CP74" s="35"/>
      <c r="CQ74" s="35"/>
      <c r="CR74" s="35"/>
      <c r="CS74" s="35"/>
      <c r="CT74" s="35"/>
      <c r="CU74" s="35"/>
      <c r="CV74" s="35"/>
      <c r="CW74" s="35"/>
      <c r="CX74" s="35"/>
      <c r="CY74" s="35"/>
      <c r="CZ74" s="35"/>
      <c r="DA74" s="35"/>
      <c r="DB74" s="35"/>
      <c r="DC74" s="35"/>
      <c r="DD74" s="35"/>
      <c r="DE74" s="35"/>
      <c r="DF74" s="35"/>
      <c r="DG74" s="35"/>
      <c r="DH74" s="35"/>
      <c r="DI74" s="35"/>
      <c r="DJ74" s="35"/>
      <c r="DK74" s="35"/>
      <c r="DL74" s="35"/>
      <c r="DM74" s="35"/>
      <c r="DN74" s="35"/>
      <c r="DO74" t="str">
        <f t="shared" si="4"/>
        <v/>
      </c>
    </row>
    <row r="75" spans="5:119" ht="18.95" customHeight="1" x14ac:dyDescent="0.25">
      <c r="E75" s="20"/>
      <c r="F75" s="20"/>
      <c r="G75" s="20"/>
      <c r="H75" s="20"/>
      <c r="K75" s="21"/>
      <c r="L75" t="str">
        <f t="shared" ca="1" si="6"/>
        <v/>
      </c>
      <c r="O75" s="31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5"/>
      <c r="CP75" s="35"/>
      <c r="CQ75" s="35"/>
      <c r="CR75" s="35"/>
      <c r="CS75" s="35"/>
      <c r="CT75" s="35"/>
      <c r="CU75" s="35"/>
      <c r="CV75" s="35"/>
      <c r="CW75" s="35"/>
      <c r="CX75" s="35"/>
      <c r="CY75" s="35"/>
      <c r="CZ75" s="35"/>
      <c r="DA75" s="35"/>
      <c r="DB75" s="35"/>
      <c r="DC75" s="35"/>
      <c r="DD75" s="35"/>
      <c r="DE75" s="35"/>
      <c r="DF75" s="35"/>
      <c r="DG75" s="35"/>
      <c r="DH75" s="35"/>
      <c r="DI75" s="35"/>
      <c r="DJ75" s="35"/>
      <c r="DK75" s="35"/>
      <c r="DL75" s="35"/>
      <c r="DM75" s="35"/>
      <c r="DN75" s="35"/>
      <c r="DO75" t="str">
        <f t="shared" si="4"/>
        <v/>
      </c>
    </row>
    <row r="76" spans="5:119" ht="18.95" customHeight="1" x14ac:dyDescent="0.25">
      <c r="E76" s="20"/>
      <c r="F76" s="20"/>
      <c r="G76" s="20"/>
      <c r="H76" s="20"/>
      <c r="K76" s="21"/>
      <c r="L76" t="str">
        <f t="shared" ca="1" si="6"/>
        <v/>
      </c>
      <c r="O76" s="23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5"/>
      <c r="BM76" s="35"/>
      <c r="BN76" s="35"/>
      <c r="BO76" s="35"/>
      <c r="BP76" s="35"/>
      <c r="BQ76" s="35"/>
      <c r="BR76" s="35"/>
      <c r="BS76" s="35"/>
      <c r="BT76" s="35"/>
      <c r="BU76" s="35"/>
      <c r="BV76" s="35"/>
      <c r="BW76" s="35"/>
      <c r="BX76" s="35"/>
      <c r="BY76" s="35"/>
      <c r="BZ76" s="35"/>
      <c r="CA76" s="35"/>
      <c r="CB76" s="35"/>
      <c r="CC76" s="35"/>
      <c r="CD76" s="35"/>
      <c r="CE76" s="35"/>
      <c r="CF76" s="35"/>
      <c r="CG76" s="35"/>
      <c r="CH76" s="35"/>
      <c r="CI76" s="35"/>
      <c r="CJ76" s="35"/>
      <c r="CK76" s="35"/>
      <c r="CL76" s="35"/>
      <c r="CM76" s="35"/>
      <c r="CN76" s="35"/>
      <c r="CO76" s="35"/>
      <c r="CP76" s="35"/>
      <c r="CQ76" s="35"/>
      <c r="CR76" s="35"/>
      <c r="CS76" s="35"/>
      <c r="CT76" s="35"/>
      <c r="CU76" s="35"/>
      <c r="CV76" s="35"/>
      <c r="CW76" s="35"/>
      <c r="CX76" s="35"/>
      <c r="CY76" s="35"/>
      <c r="CZ76" s="35"/>
      <c r="DA76" s="35"/>
      <c r="DB76" s="35"/>
      <c r="DC76" s="35"/>
      <c r="DD76" s="35"/>
      <c r="DE76" s="35"/>
      <c r="DF76" s="35"/>
      <c r="DG76" s="35"/>
      <c r="DH76" s="35"/>
      <c r="DI76" s="35"/>
      <c r="DJ76" s="35"/>
      <c r="DK76" s="35"/>
      <c r="DL76" s="35"/>
      <c r="DM76" s="35"/>
      <c r="DN76" s="35"/>
      <c r="DO76" t="str">
        <f t="shared" si="4"/>
        <v/>
      </c>
    </row>
    <row r="77" spans="5:119" ht="18.95" customHeight="1" x14ac:dyDescent="0.25">
      <c r="E77" s="20"/>
      <c r="F77" s="20"/>
      <c r="G77" s="20"/>
      <c r="H77" s="20"/>
      <c r="K77" s="21"/>
      <c r="L77" t="str">
        <f t="shared" ca="1" si="6"/>
        <v/>
      </c>
      <c r="O77" s="31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5"/>
      <c r="BM77" s="35"/>
      <c r="BN77" s="35"/>
      <c r="BO77" s="35"/>
      <c r="BP77" s="35"/>
      <c r="BQ77" s="35"/>
      <c r="BR77" s="35"/>
      <c r="BS77" s="35"/>
      <c r="BT77" s="35"/>
      <c r="BU77" s="35"/>
      <c r="BV77" s="35"/>
      <c r="BW77" s="35"/>
      <c r="BX77" s="35"/>
      <c r="BY77" s="35"/>
      <c r="BZ77" s="35"/>
      <c r="CA77" s="35"/>
      <c r="CB77" s="35"/>
      <c r="CC77" s="35"/>
      <c r="CD77" s="35"/>
      <c r="CE77" s="35"/>
      <c r="CF77" s="35"/>
      <c r="CG77" s="35"/>
      <c r="CH77" s="35"/>
      <c r="CI77" s="35"/>
      <c r="CJ77" s="35"/>
      <c r="CK77" s="35"/>
      <c r="CL77" s="35"/>
      <c r="CM77" s="35"/>
      <c r="CN77" s="35"/>
      <c r="CO77" s="35"/>
      <c r="CP77" s="35"/>
      <c r="CQ77" s="35"/>
      <c r="CR77" s="35"/>
      <c r="CS77" s="35"/>
      <c r="CT77" s="35"/>
      <c r="CU77" s="35"/>
      <c r="CV77" s="35"/>
      <c r="CW77" s="35"/>
      <c r="CX77" s="35"/>
      <c r="CY77" s="35"/>
      <c r="CZ77" s="35"/>
      <c r="DA77" s="35"/>
      <c r="DB77" s="35"/>
      <c r="DC77" s="35"/>
      <c r="DD77" s="35"/>
      <c r="DE77" s="35"/>
      <c r="DF77" s="35"/>
      <c r="DG77" s="35"/>
      <c r="DH77" s="35"/>
      <c r="DI77" s="35"/>
      <c r="DJ77" s="35"/>
      <c r="DK77" s="35"/>
      <c r="DL77" s="35"/>
      <c r="DM77" s="35"/>
      <c r="DN77" s="35"/>
      <c r="DO77" t="str">
        <f t="shared" si="4"/>
        <v/>
      </c>
    </row>
    <row r="78" spans="5:119" ht="18.95" customHeight="1" x14ac:dyDescent="0.25">
      <c r="E78" s="20"/>
      <c r="F78" s="20"/>
      <c r="G78" s="20"/>
      <c r="H78" s="20"/>
      <c r="K78" s="21"/>
      <c r="L78" t="str">
        <f t="shared" ca="1" si="6"/>
        <v/>
      </c>
      <c r="O78" s="23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5"/>
      <c r="BM78" s="35"/>
      <c r="BN78" s="35"/>
      <c r="BO78" s="35"/>
      <c r="BP78" s="35"/>
      <c r="BQ78" s="35"/>
      <c r="BR78" s="35"/>
      <c r="BS78" s="35"/>
      <c r="BT78" s="35"/>
      <c r="BU78" s="35"/>
      <c r="BV78" s="35"/>
      <c r="BW78" s="35"/>
      <c r="BX78" s="35"/>
      <c r="BY78" s="35"/>
      <c r="BZ78" s="35"/>
      <c r="CA78" s="35"/>
      <c r="CB78" s="35"/>
      <c r="CC78" s="35"/>
      <c r="CD78" s="35"/>
      <c r="CE78" s="35"/>
      <c r="CF78" s="35"/>
      <c r="CG78" s="35"/>
      <c r="CH78" s="35"/>
      <c r="CI78" s="35"/>
      <c r="CJ78" s="35"/>
      <c r="CK78" s="35"/>
      <c r="CL78" s="35"/>
      <c r="CM78" s="35"/>
      <c r="CN78" s="35"/>
      <c r="CO78" s="35"/>
      <c r="CP78" s="35"/>
      <c r="CQ78" s="35"/>
      <c r="CR78" s="35"/>
      <c r="CS78" s="35"/>
      <c r="CT78" s="35"/>
      <c r="CU78" s="35"/>
      <c r="CV78" s="35"/>
      <c r="CW78" s="35"/>
      <c r="CX78" s="35"/>
      <c r="CY78" s="35"/>
      <c r="CZ78" s="35"/>
      <c r="DA78" s="35"/>
      <c r="DB78" s="35"/>
      <c r="DC78" s="35"/>
      <c r="DD78" s="35"/>
      <c r="DE78" s="35"/>
      <c r="DF78" s="35"/>
      <c r="DG78" s="35"/>
      <c r="DH78" s="35"/>
      <c r="DI78" s="35"/>
      <c r="DJ78" s="35"/>
      <c r="DK78" s="35"/>
      <c r="DL78" s="35"/>
      <c r="DM78" s="35"/>
      <c r="DN78" s="35"/>
      <c r="DO78" t="str">
        <f t="shared" si="4"/>
        <v/>
      </c>
    </row>
    <row r="79" spans="5:119" ht="18.95" customHeight="1" x14ac:dyDescent="0.25">
      <c r="E79" s="20"/>
      <c r="F79" s="20"/>
      <c r="G79" s="20"/>
      <c r="H79" s="20"/>
      <c r="K79" s="21"/>
      <c r="L79" t="str">
        <f t="shared" ca="1" si="6"/>
        <v/>
      </c>
      <c r="O79" s="31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5"/>
      <c r="BM79" s="35"/>
      <c r="BN79" s="35"/>
      <c r="BO79" s="35"/>
      <c r="BP79" s="35"/>
      <c r="BQ79" s="35"/>
      <c r="BR79" s="35"/>
      <c r="BS79" s="35"/>
      <c r="BT79" s="35"/>
      <c r="BU79" s="35"/>
      <c r="BV79" s="35"/>
      <c r="BW79" s="35"/>
      <c r="BX79" s="35"/>
      <c r="BY79" s="35"/>
      <c r="BZ79" s="35"/>
      <c r="CA79" s="35"/>
      <c r="CB79" s="35"/>
      <c r="CC79" s="35"/>
      <c r="CD79" s="35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5"/>
      <c r="CP79" s="35"/>
      <c r="CQ79" s="35"/>
      <c r="CR79" s="35"/>
      <c r="CS79" s="35"/>
      <c r="CT79" s="35"/>
      <c r="CU79" s="35"/>
      <c r="CV79" s="35"/>
      <c r="CW79" s="35"/>
      <c r="CX79" s="35"/>
      <c r="CY79" s="35"/>
      <c r="CZ79" s="35"/>
      <c r="DA79" s="35"/>
      <c r="DB79" s="35"/>
      <c r="DC79" s="35"/>
      <c r="DD79" s="35"/>
      <c r="DE79" s="35"/>
      <c r="DF79" s="35"/>
      <c r="DG79" s="35"/>
      <c r="DH79" s="35"/>
      <c r="DI79" s="35"/>
      <c r="DJ79" s="35"/>
      <c r="DK79" s="35"/>
      <c r="DL79" s="35"/>
      <c r="DM79" s="35"/>
      <c r="DN79" s="35"/>
      <c r="DO79" t="str">
        <f t="shared" ref="DO79:DO96" si="7">IF(C79="","",IF(L79="Complete",1,0))</f>
        <v/>
      </c>
    </row>
    <row r="80" spans="5:119" ht="18.95" customHeight="1" x14ac:dyDescent="0.25">
      <c r="E80" s="20"/>
      <c r="F80" s="20"/>
      <c r="G80" s="20"/>
      <c r="H80" s="20"/>
      <c r="K80" s="21"/>
      <c r="L80" t="str">
        <f t="shared" ca="1" si="6"/>
        <v/>
      </c>
      <c r="O80" s="23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5"/>
      <c r="BM80" s="35"/>
      <c r="BN80" s="35"/>
      <c r="BO80" s="35"/>
      <c r="BP80" s="35"/>
      <c r="BQ80" s="35"/>
      <c r="BR80" s="35"/>
      <c r="BS80" s="35"/>
      <c r="BT80" s="35"/>
      <c r="BU80" s="35"/>
      <c r="BV80" s="35"/>
      <c r="BW80" s="35"/>
      <c r="BX80" s="35"/>
      <c r="BY80" s="35"/>
      <c r="BZ80" s="35"/>
      <c r="CA80" s="35"/>
      <c r="CB80" s="35"/>
      <c r="CC80" s="35"/>
      <c r="CD80" s="35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5"/>
      <c r="CP80" s="35"/>
      <c r="CQ80" s="35"/>
      <c r="CR80" s="35"/>
      <c r="CS80" s="35"/>
      <c r="CT80" s="35"/>
      <c r="CU80" s="35"/>
      <c r="CV80" s="35"/>
      <c r="CW80" s="35"/>
      <c r="CX80" s="35"/>
      <c r="CY80" s="35"/>
      <c r="CZ80" s="35"/>
      <c r="DA80" s="35"/>
      <c r="DB80" s="35"/>
      <c r="DC80" s="35"/>
      <c r="DD80" s="35"/>
      <c r="DE80" s="35"/>
      <c r="DF80" s="35"/>
      <c r="DG80" s="35"/>
      <c r="DH80" s="35"/>
      <c r="DI80" s="35"/>
      <c r="DJ80" s="35"/>
      <c r="DK80" s="35"/>
      <c r="DL80" s="35"/>
      <c r="DM80" s="35"/>
      <c r="DN80" s="35"/>
      <c r="DO80" t="str">
        <f t="shared" si="7"/>
        <v/>
      </c>
    </row>
    <row r="81" spans="5:119" ht="18.95" customHeight="1" x14ac:dyDescent="0.25">
      <c r="E81" s="20"/>
      <c r="F81" s="20"/>
      <c r="G81" s="20"/>
      <c r="H81" s="20"/>
      <c r="K81" s="21"/>
      <c r="L81" t="str">
        <f t="shared" ca="1" si="6"/>
        <v/>
      </c>
      <c r="O81" s="31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5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5"/>
      <c r="CP81" s="35"/>
      <c r="CQ81" s="35"/>
      <c r="CR81" s="35"/>
      <c r="CS81" s="35"/>
      <c r="CT81" s="35"/>
      <c r="CU81" s="35"/>
      <c r="CV81" s="35"/>
      <c r="CW81" s="35"/>
      <c r="CX81" s="35"/>
      <c r="CY81" s="35"/>
      <c r="CZ81" s="35"/>
      <c r="DA81" s="35"/>
      <c r="DB81" s="35"/>
      <c r="DC81" s="35"/>
      <c r="DD81" s="35"/>
      <c r="DE81" s="35"/>
      <c r="DF81" s="35"/>
      <c r="DG81" s="35"/>
      <c r="DH81" s="35"/>
      <c r="DI81" s="35"/>
      <c r="DJ81" s="35"/>
      <c r="DK81" s="35"/>
      <c r="DL81" s="35"/>
      <c r="DM81" s="35"/>
      <c r="DN81" s="35"/>
      <c r="DO81" t="str">
        <f t="shared" si="7"/>
        <v/>
      </c>
    </row>
    <row r="82" spans="5:119" ht="18.95" customHeight="1" x14ac:dyDescent="0.25">
      <c r="E82" s="20"/>
      <c r="F82" s="20"/>
      <c r="G82" s="20"/>
      <c r="H82" s="20"/>
      <c r="K82" s="21"/>
      <c r="L82" t="str">
        <f t="shared" ca="1" si="6"/>
        <v/>
      </c>
      <c r="O82" s="23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5"/>
      <c r="BZ82" s="35"/>
      <c r="CA82" s="35"/>
      <c r="CB82" s="35"/>
      <c r="CC82" s="35"/>
      <c r="CD82" s="35"/>
      <c r="CE82" s="35"/>
      <c r="CF82" s="35"/>
      <c r="CG82" s="35"/>
      <c r="CH82" s="35"/>
      <c r="CI82" s="35"/>
      <c r="CJ82" s="35"/>
      <c r="CK82" s="35"/>
      <c r="CL82" s="35"/>
      <c r="CM82" s="35"/>
      <c r="CN82" s="35"/>
      <c r="CO82" s="35"/>
      <c r="CP82" s="35"/>
      <c r="CQ82" s="35"/>
      <c r="CR82" s="35"/>
      <c r="CS82" s="35"/>
      <c r="CT82" s="35"/>
      <c r="CU82" s="35"/>
      <c r="CV82" s="35"/>
      <c r="CW82" s="35"/>
      <c r="CX82" s="35"/>
      <c r="CY82" s="35"/>
      <c r="CZ82" s="35"/>
      <c r="DA82" s="35"/>
      <c r="DB82" s="35"/>
      <c r="DC82" s="35"/>
      <c r="DD82" s="35"/>
      <c r="DE82" s="35"/>
      <c r="DF82" s="35"/>
      <c r="DG82" s="35"/>
      <c r="DH82" s="35"/>
      <c r="DI82" s="35"/>
      <c r="DJ82" s="35"/>
      <c r="DK82" s="35"/>
      <c r="DL82" s="35"/>
      <c r="DM82" s="35"/>
      <c r="DN82" s="35"/>
      <c r="DO82" t="str">
        <f t="shared" si="7"/>
        <v/>
      </c>
    </row>
    <row r="83" spans="5:119" ht="18.95" customHeight="1" x14ac:dyDescent="0.25">
      <c r="E83" s="20"/>
      <c r="F83" s="20"/>
      <c r="G83" s="20"/>
      <c r="H83" s="20"/>
      <c r="K83" s="21"/>
      <c r="L83" t="str">
        <f t="shared" ca="1" si="6"/>
        <v/>
      </c>
      <c r="O83" s="31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5"/>
      <c r="BM83" s="35"/>
      <c r="BN83" s="35"/>
      <c r="BO83" s="35"/>
      <c r="BP83" s="35"/>
      <c r="BQ83" s="35"/>
      <c r="BR83" s="35"/>
      <c r="BS83" s="35"/>
      <c r="BT83" s="35"/>
      <c r="BU83" s="35"/>
      <c r="BV83" s="35"/>
      <c r="BW83" s="35"/>
      <c r="BX83" s="35"/>
      <c r="BY83" s="35"/>
      <c r="BZ83" s="35"/>
      <c r="CA83" s="35"/>
      <c r="CB83" s="35"/>
      <c r="CC83" s="35"/>
      <c r="CD83" s="35"/>
      <c r="CE83" s="35"/>
      <c r="CF83" s="35"/>
      <c r="CG83" s="35"/>
      <c r="CH83" s="35"/>
      <c r="CI83" s="35"/>
      <c r="CJ83" s="35"/>
      <c r="CK83" s="35"/>
      <c r="CL83" s="35"/>
      <c r="CM83" s="35"/>
      <c r="CN83" s="35"/>
      <c r="CO83" s="35"/>
      <c r="CP83" s="35"/>
      <c r="CQ83" s="35"/>
      <c r="CR83" s="35"/>
      <c r="CS83" s="35"/>
      <c r="CT83" s="35"/>
      <c r="CU83" s="35"/>
      <c r="CV83" s="35"/>
      <c r="CW83" s="35"/>
      <c r="CX83" s="35"/>
      <c r="CY83" s="35"/>
      <c r="CZ83" s="35"/>
      <c r="DA83" s="35"/>
      <c r="DB83" s="35"/>
      <c r="DC83" s="35"/>
      <c r="DD83" s="35"/>
      <c r="DE83" s="35"/>
      <c r="DF83" s="35"/>
      <c r="DG83" s="35"/>
      <c r="DH83" s="35"/>
      <c r="DI83" s="35"/>
      <c r="DJ83" s="35"/>
      <c r="DK83" s="35"/>
      <c r="DL83" s="35"/>
      <c r="DM83" s="35"/>
      <c r="DN83" s="35"/>
      <c r="DO83" t="str">
        <f t="shared" si="7"/>
        <v/>
      </c>
    </row>
    <row r="84" spans="5:119" ht="18.95" customHeight="1" x14ac:dyDescent="0.25">
      <c r="E84" s="20"/>
      <c r="F84" s="20"/>
      <c r="G84" s="20"/>
      <c r="H84" s="20"/>
      <c r="K84" s="21"/>
      <c r="L84" t="str">
        <f t="shared" ca="1" si="6"/>
        <v/>
      </c>
      <c r="O84" s="23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  <c r="BU84" s="35"/>
      <c r="BV84" s="35"/>
      <c r="BW84" s="35"/>
      <c r="BX84" s="35"/>
      <c r="BY84" s="35"/>
      <c r="BZ84" s="35"/>
      <c r="CA84" s="35"/>
      <c r="CB84" s="35"/>
      <c r="CC84" s="35"/>
      <c r="CD84" s="35"/>
      <c r="CE84" s="35"/>
      <c r="CF84" s="35"/>
      <c r="CG84" s="35"/>
      <c r="CH84" s="35"/>
      <c r="CI84" s="35"/>
      <c r="CJ84" s="35"/>
      <c r="CK84" s="35"/>
      <c r="CL84" s="35"/>
      <c r="CM84" s="35"/>
      <c r="CN84" s="35"/>
      <c r="CO84" s="35"/>
      <c r="CP84" s="35"/>
      <c r="CQ84" s="35"/>
      <c r="CR84" s="35"/>
      <c r="CS84" s="35"/>
      <c r="CT84" s="35"/>
      <c r="CU84" s="35"/>
      <c r="CV84" s="35"/>
      <c r="CW84" s="35"/>
      <c r="CX84" s="35"/>
      <c r="CY84" s="35"/>
      <c r="CZ84" s="35"/>
      <c r="DA84" s="35"/>
      <c r="DB84" s="35"/>
      <c r="DC84" s="35"/>
      <c r="DD84" s="35"/>
      <c r="DE84" s="35"/>
      <c r="DF84" s="35"/>
      <c r="DG84" s="35"/>
      <c r="DH84" s="35"/>
      <c r="DI84" s="35"/>
      <c r="DJ84" s="35"/>
      <c r="DK84" s="35"/>
      <c r="DL84" s="35"/>
      <c r="DM84" s="35"/>
      <c r="DN84" s="35"/>
      <c r="DO84" t="str">
        <f t="shared" si="7"/>
        <v/>
      </c>
    </row>
    <row r="85" spans="5:119" ht="18.95" customHeight="1" x14ac:dyDescent="0.25">
      <c r="E85" s="20"/>
      <c r="F85" s="20"/>
      <c r="G85" s="20"/>
      <c r="H85" s="20"/>
      <c r="K85" s="21"/>
      <c r="L85" t="str">
        <f t="shared" ca="1" si="6"/>
        <v/>
      </c>
      <c r="O85" s="31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5"/>
      <c r="BM85" s="35"/>
      <c r="BN85" s="35"/>
      <c r="BO85" s="35"/>
      <c r="BP85" s="35"/>
      <c r="BQ85" s="35"/>
      <c r="BR85" s="35"/>
      <c r="BS85" s="35"/>
      <c r="BT85" s="35"/>
      <c r="BU85" s="35"/>
      <c r="BV85" s="35"/>
      <c r="BW85" s="35"/>
      <c r="BX85" s="35"/>
      <c r="BY85" s="35"/>
      <c r="BZ85" s="35"/>
      <c r="CA85" s="35"/>
      <c r="CB85" s="35"/>
      <c r="CC85" s="35"/>
      <c r="CD85" s="35"/>
      <c r="CE85" s="35"/>
      <c r="CF85" s="35"/>
      <c r="CG85" s="35"/>
      <c r="CH85" s="35"/>
      <c r="CI85" s="35"/>
      <c r="CJ85" s="35"/>
      <c r="CK85" s="35"/>
      <c r="CL85" s="35"/>
      <c r="CM85" s="35"/>
      <c r="CN85" s="35"/>
      <c r="CO85" s="35"/>
      <c r="CP85" s="35"/>
      <c r="CQ85" s="35"/>
      <c r="CR85" s="35"/>
      <c r="CS85" s="35"/>
      <c r="CT85" s="35"/>
      <c r="CU85" s="35"/>
      <c r="CV85" s="35"/>
      <c r="CW85" s="35"/>
      <c r="CX85" s="35"/>
      <c r="CY85" s="35"/>
      <c r="CZ85" s="35"/>
      <c r="DA85" s="35"/>
      <c r="DB85" s="35"/>
      <c r="DC85" s="35"/>
      <c r="DD85" s="35"/>
      <c r="DE85" s="35"/>
      <c r="DF85" s="35"/>
      <c r="DG85" s="35"/>
      <c r="DH85" s="35"/>
      <c r="DI85" s="35"/>
      <c r="DJ85" s="35"/>
      <c r="DK85" s="35"/>
      <c r="DL85" s="35"/>
      <c r="DM85" s="35"/>
      <c r="DN85" s="35"/>
      <c r="DO85" t="str">
        <f t="shared" si="7"/>
        <v/>
      </c>
    </row>
    <row r="86" spans="5:119" ht="18.95" customHeight="1" x14ac:dyDescent="0.25">
      <c r="E86" s="20"/>
      <c r="F86" s="20"/>
      <c r="G86" s="20"/>
      <c r="H86" s="20"/>
      <c r="K86" s="21"/>
      <c r="L86" t="str">
        <f t="shared" ca="1" si="6"/>
        <v/>
      </c>
      <c r="O86" s="23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5"/>
      <c r="BM86" s="35"/>
      <c r="BN86" s="35"/>
      <c r="BO86" s="35"/>
      <c r="BP86" s="35"/>
      <c r="BQ86" s="35"/>
      <c r="BR86" s="35"/>
      <c r="BS86" s="35"/>
      <c r="BT86" s="35"/>
      <c r="BU86" s="35"/>
      <c r="BV86" s="35"/>
      <c r="BW86" s="35"/>
      <c r="BX86" s="35"/>
      <c r="BY86" s="35"/>
      <c r="BZ86" s="35"/>
      <c r="CA86" s="35"/>
      <c r="CB86" s="35"/>
      <c r="CC86" s="35"/>
      <c r="CD86" s="35"/>
      <c r="CE86" s="35"/>
      <c r="CF86" s="35"/>
      <c r="CG86" s="35"/>
      <c r="CH86" s="35"/>
      <c r="CI86" s="35"/>
      <c r="CJ86" s="35"/>
      <c r="CK86" s="35"/>
      <c r="CL86" s="35"/>
      <c r="CM86" s="35"/>
      <c r="CN86" s="35"/>
      <c r="CO86" s="35"/>
      <c r="CP86" s="35"/>
      <c r="CQ86" s="35"/>
      <c r="CR86" s="35"/>
      <c r="CS86" s="35"/>
      <c r="CT86" s="35"/>
      <c r="CU86" s="35"/>
      <c r="CV86" s="35"/>
      <c r="CW86" s="35"/>
      <c r="CX86" s="35"/>
      <c r="CY86" s="35"/>
      <c r="CZ86" s="35"/>
      <c r="DA86" s="35"/>
      <c r="DB86" s="35"/>
      <c r="DC86" s="35"/>
      <c r="DD86" s="35"/>
      <c r="DE86" s="35"/>
      <c r="DF86" s="35"/>
      <c r="DG86" s="35"/>
      <c r="DH86" s="35"/>
      <c r="DI86" s="35"/>
      <c r="DJ86" s="35"/>
      <c r="DK86" s="35"/>
      <c r="DL86" s="35"/>
      <c r="DM86" s="35"/>
      <c r="DN86" s="35"/>
      <c r="DO86" t="str">
        <f t="shared" si="7"/>
        <v/>
      </c>
    </row>
    <row r="87" spans="5:119" ht="18.95" customHeight="1" x14ac:dyDescent="0.25">
      <c r="E87" s="20"/>
      <c r="F87" s="20"/>
      <c r="G87" s="20"/>
      <c r="H87" s="20"/>
      <c r="K87" s="21"/>
      <c r="L87" t="str">
        <f t="shared" ca="1" si="6"/>
        <v/>
      </c>
      <c r="O87" s="31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5"/>
      <c r="BM87" s="35"/>
      <c r="BN87" s="35"/>
      <c r="BO87" s="35"/>
      <c r="BP87" s="35"/>
      <c r="BQ87" s="35"/>
      <c r="BR87" s="35"/>
      <c r="BS87" s="35"/>
      <c r="BT87" s="35"/>
      <c r="BU87" s="35"/>
      <c r="BV87" s="35"/>
      <c r="BW87" s="35"/>
      <c r="BX87" s="35"/>
      <c r="BY87" s="35"/>
      <c r="BZ87" s="35"/>
      <c r="CA87" s="35"/>
      <c r="CB87" s="35"/>
      <c r="CC87" s="35"/>
      <c r="CD87" s="35"/>
      <c r="CE87" s="35"/>
      <c r="CF87" s="35"/>
      <c r="CG87" s="35"/>
      <c r="CH87" s="35"/>
      <c r="CI87" s="35"/>
      <c r="CJ87" s="35"/>
      <c r="CK87" s="35"/>
      <c r="CL87" s="35"/>
      <c r="CM87" s="35"/>
      <c r="CN87" s="35"/>
      <c r="CO87" s="35"/>
      <c r="CP87" s="35"/>
      <c r="CQ87" s="35"/>
      <c r="CR87" s="35"/>
      <c r="CS87" s="35"/>
      <c r="CT87" s="35"/>
      <c r="CU87" s="35"/>
      <c r="CV87" s="35"/>
      <c r="CW87" s="35"/>
      <c r="CX87" s="35"/>
      <c r="CY87" s="35"/>
      <c r="CZ87" s="35"/>
      <c r="DA87" s="35"/>
      <c r="DB87" s="35"/>
      <c r="DC87" s="35"/>
      <c r="DD87" s="35"/>
      <c r="DE87" s="35"/>
      <c r="DF87" s="35"/>
      <c r="DG87" s="35"/>
      <c r="DH87" s="35"/>
      <c r="DI87" s="35"/>
      <c r="DJ87" s="35"/>
      <c r="DK87" s="35"/>
      <c r="DL87" s="35"/>
      <c r="DM87" s="35"/>
      <c r="DN87" s="35"/>
      <c r="DO87" t="str">
        <f t="shared" si="7"/>
        <v/>
      </c>
    </row>
    <row r="88" spans="5:119" ht="18.95" customHeight="1" x14ac:dyDescent="0.25">
      <c r="E88" s="20"/>
      <c r="F88" s="20"/>
      <c r="G88" s="20"/>
      <c r="H88" s="20"/>
      <c r="K88" s="21"/>
      <c r="L88" t="str">
        <f t="shared" ca="1" si="6"/>
        <v/>
      </c>
      <c r="O88" s="23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  <c r="BU88" s="35"/>
      <c r="BV88" s="35"/>
      <c r="BW88" s="35"/>
      <c r="BX88" s="35"/>
      <c r="BY88" s="35"/>
      <c r="BZ88" s="35"/>
      <c r="CA88" s="35"/>
      <c r="CB88" s="35"/>
      <c r="CC88" s="35"/>
      <c r="CD88" s="35"/>
      <c r="CE88" s="35"/>
      <c r="CF88" s="35"/>
      <c r="CG88" s="35"/>
      <c r="CH88" s="35"/>
      <c r="CI88" s="35"/>
      <c r="CJ88" s="35"/>
      <c r="CK88" s="35"/>
      <c r="CL88" s="35"/>
      <c r="CM88" s="35"/>
      <c r="CN88" s="35"/>
      <c r="CO88" s="35"/>
      <c r="CP88" s="35"/>
      <c r="CQ88" s="35"/>
      <c r="CR88" s="35"/>
      <c r="CS88" s="35"/>
      <c r="CT88" s="35"/>
      <c r="CU88" s="35"/>
      <c r="CV88" s="35"/>
      <c r="CW88" s="35"/>
      <c r="CX88" s="35"/>
      <c r="CY88" s="35"/>
      <c r="CZ88" s="35"/>
      <c r="DA88" s="35"/>
      <c r="DB88" s="35"/>
      <c r="DC88" s="35"/>
      <c r="DD88" s="35"/>
      <c r="DE88" s="35"/>
      <c r="DF88" s="35"/>
      <c r="DG88" s="35"/>
      <c r="DH88" s="35"/>
      <c r="DI88" s="35"/>
      <c r="DJ88" s="35"/>
      <c r="DK88" s="35"/>
      <c r="DL88" s="35"/>
      <c r="DM88" s="35"/>
      <c r="DN88" s="35"/>
      <c r="DO88" t="str">
        <f t="shared" si="7"/>
        <v/>
      </c>
    </row>
    <row r="89" spans="5:119" ht="18.95" customHeight="1" x14ac:dyDescent="0.25">
      <c r="E89" s="20"/>
      <c r="F89" s="20"/>
      <c r="G89" s="20"/>
      <c r="H89" s="20"/>
      <c r="K89" s="21"/>
      <c r="L89" t="str">
        <f t="shared" ca="1" si="6"/>
        <v/>
      </c>
      <c r="O89" s="31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  <c r="BU89" s="35"/>
      <c r="BV89" s="35"/>
      <c r="BW89" s="35"/>
      <c r="BX89" s="35"/>
      <c r="BY89" s="35"/>
      <c r="BZ89" s="35"/>
      <c r="CA89" s="35"/>
      <c r="CB89" s="35"/>
      <c r="CC89" s="35"/>
      <c r="CD89" s="35"/>
      <c r="CE89" s="35"/>
      <c r="CF89" s="35"/>
      <c r="CG89" s="35"/>
      <c r="CH89" s="35"/>
      <c r="CI89" s="35"/>
      <c r="CJ89" s="35"/>
      <c r="CK89" s="35"/>
      <c r="CL89" s="35"/>
      <c r="CM89" s="35"/>
      <c r="CN89" s="35"/>
      <c r="CO89" s="35"/>
      <c r="CP89" s="35"/>
      <c r="CQ89" s="35"/>
      <c r="CR89" s="35"/>
      <c r="CS89" s="35"/>
      <c r="CT89" s="35"/>
      <c r="CU89" s="35"/>
      <c r="CV89" s="35"/>
      <c r="CW89" s="35"/>
      <c r="CX89" s="35"/>
      <c r="CY89" s="35"/>
      <c r="CZ89" s="35"/>
      <c r="DA89" s="35"/>
      <c r="DB89" s="35"/>
      <c r="DC89" s="35"/>
      <c r="DD89" s="35"/>
      <c r="DE89" s="35"/>
      <c r="DF89" s="35"/>
      <c r="DG89" s="35"/>
      <c r="DH89" s="35"/>
      <c r="DI89" s="35"/>
      <c r="DJ89" s="35"/>
      <c r="DK89" s="35"/>
      <c r="DL89" s="35"/>
      <c r="DM89" s="35"/>
      <c r="DN89" s="35"/>
      <c r="DO89" t="str">
        <f t="shared" si="7"/>
        <v/>
      </c>
    </row>
    <row r="90" spans="5:119" ht="18.95" customHeight="1" x14ac:dyDescent="0.25">
      <c r="E90" s="20"/>
      <c r="F90" s="20"/>
      <c r="G90" s="20"/>
      <c r="H90" s="20"/>
      <c r="K90" s="21"/>
      <c r="L90" t="str">
        <f t="shared" ca="1" si="6"/>
        <v/>
      </c>
      <c r="O90" s="23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5"/>
      <c r="BZ90" s="35"/>
      <c r="CA90" s="35"/>
      <c r="CB90" s="35"/>
      <c r="CC90" s="35"/>
      <c r="CD90" s="35"/>
      <c r="CE90" s="35"/>
      <c r="CF90" s="35"/>
      <c r="CG90" s="35"/>
      <c r="CH90" s="35"/>
      <c r="CI90" s="35"/>
      <c r="CJ90" s="35"/>
      <c r="CK90" s="35"/>
      <c r="CL90" s="35"/>
      <c r="CM90" s="35"/>
      <c r="CN90" s="35"/>
      <c r="CO90" s="35"/>
      <c r="CP90" s="35"/>
      <c r="CQ90" s="35"/>
      <c r="CR90" s="35"/>
      <c r="CS90" s="35"/>
      <c r="CT90" s="35"/>
      <c r="CU90" s="35"/>
      <c r="CV90" s="35"/>
      <c r="CW90" s="35"/>
      <c r="CX90" s="35"/>
      <c r="CY90" s="35"/>
      <c r="CZ90" s="35"/>
      <c r="DA90" s="35"/>
      <c r="DB90" s="35"/>
      <c r="DC90" s="35"/>
      <c r="DD90" s="35"/>
      <c r="DE90" s="35"/>
      <c r="DF90" s="35"/>
      <c r="DG90" s="35"/>
      <c r="DH90" s="35"/>
      <c r="DI90" s="35"/>
      <c r="DJ90" s="35"/>
      <c r="DK90" s="35"/>
      <c r="DL90" s="35"/>
      <c r="DM90" s="35"/>
      <c r="DN90" s="35"/>
      <c r="DO90" t="str">
        <f t="shared" si="7"/>
        <v/>
      </c>
    </row>
    <row r="91" spans="5:119" ht="18.95" customHeight="1" x14ac:dyDescent="0.25">
      <c r="E91" s="20"/>
      <c r="F91" s="20"/>
      <c r="G91" s="20"/>
      <c r="H91" s="20"/>
      <c r="K91" s="21"/>
      <c r="L91" t="str">
        <f t="shared" ca="1" si="6"/>
        <v/>
      </c>
      <c r="O91" s="31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35"/>
      <c r="BT91" s="35"/>
      <c r="BU91" s="35"/>
      <c r="BV91" s="35"/>
      <c r="BW91" s="35"/>
      <c r="BX91" s="35"/>
      <c r="BY91" s="35"/>
      <c r="BZ91" s="35"/>
      <c r="CA91" s="35"/>
      <c r="CB91" s="35"/>
      <c r="CC91" s="35"/>
      <c r="CD91" s="35"/>
      <c r="CE91" s="35"/>
      <c r="CF91" s="35"/>
      <c r="CG91" s="35"/>
      <c r="CH91" s="35"/>
      <c r="CI91" s="35"/>
      <c r="CJ91" s="35"/>
      <c r="CK91" s="35"/>
      <c r="CL91" s="35"/>
      <c r="CM91" s="35"/>
      <c r="CN91" s="35"/>
      <c r="CO91" s="35"/>
      <c r="CP91" s="35"/>
      <c r="CQ91" s="35"/>
      <c r="CR91" s="35"/>
      <c r="CS91" s="35"/>
      <c r="CT91" s="35"/>
      <c r="CU91" s="35"/>
      <c r="CV91" s="35"/>
      <c r="CW91" s="35"/>
      <c r="CX91" s="35"/>
      <c r="CY91" s="35"/>
      <c r="CZ91" s="35"/>
      <c r="DA91" s="35"/>
      <c r="DB91" s="35"/>
      <c r="DC91" s="35"/>
      <c r="DD91" s="35"/>
      <c r="DE91" s="35"/>
      <c r="DF91" s="35"/>
      <c r="DG91" s="35"/>
      <c r="DH91" s="35"/>
      <c r="DI91" s="35"/>
      <c r="DJ91" s="35"/>
      <c r="DK91" s="35"/>
      <c r="DL91" s="35"/>
      <c r="DM91" s="35"/>
      <c r="DN91" s="35"/>
      <c r="DO91" t="str">
        <f t="shared" si="7"/>
        <v/>
      </c>
    </row>
    <row r="92" spans="5:119" ht="18.95" customHeight="1" x14ac:dyDescent="0.25">
      <c r="E92" s="20"/>
      <c r="F92" s="20"/>
      <c r="G92" s="20"/>
      <c r="H92" s="20"/>
      <c r="K92" s="21"/>
      <c r="L92" t="str">
        <f t="shared" ca="1" si="6"/>
        <v/>
      </c>
      <c r="O92" s="23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5"/>
      <c r="BM92" s="35"/>
      <c r="BN92" s="35"/>
      <c r="BO92" s="35"/>
      <c r="BP92" s="35"/>
      <c r="BQ92" s="35"/>
      <c r="BR92" s="35"/>
      <c r="BS92" s="35"/>
      <c r="BT92" s="35"/>
      <c r="BU92" s="35"/>
      <c r="BV92" s="35"/>
      <c r="BW92" s="35"/>
      <c r="BX92" s="35"/>
      <c r="BY92" s="35"/>
      <c r="BZ92" s="35"/>
      <c r="CA92" s="35"/>
      <c r="CB92" s="35"/>
      <c r="CC92" s="35"/>
      <c r="CD92" s="35"/>
      <c r="CE92" s="35"/>
      <c r="CF92" s="35"/>
      <c r="CG92" s="35"/>
      <c r="CH92" s="35"/>
      <c r="CI92" s="35"/>
      <c r="CJ92" s="35"/>
      <c r="CK92" s="35"/>
      <c r="CL92" s="35"/>
      <c r="CM92" s="35"/>
      <c r="CN92" s="35"/>
      <c r="CO92" s="35"/>
      <c r="CP92" s="35"/>
      <c r="CQ92" s="35"/>
      <c r="CR92" s="35"/>
      <c r="CS92" s="35"/>
      <c r="CT92" s="35"/>
      <c r="CU92" s="35"/>
      <c r="CV92" s="35"/>
      <c r="CW92" s="35"/>
      <c r="CX92" s="35"/>
      <c r="CY92" s="35"/>
      <c r="CZ92" s="35"/>
      <c r="DA92" s="35"/>
      <c r="DB92" s="35"/>
      <c r="DC92" s="35"/>
      <c r="DD92" s="35"/>
      <c r="DE92" s="35"/>
      <c r="DF92" s="35"/>
      <c r="DG92" s="35"/>
      <c r="DH92" s="35"/>
      <c r="DI92" s="35"/>
      <c r="DJ92" s="35"/>
      <c r="DK92" s="35"/>
      <c r="DL92" s="35"/>
      <c r="DM92" s="35"/>
      <c r="DN92" s="35"/>
      <c r="DO92" t="str">
        <f t="shared" si="7"/>
        <v/>
      </c>
    </row>
    <row r="93" spans="5:119" ht="18.95" customHeight="1" x14ac:dyDescent="0.25">
      <c r="E93" s="20"/>
      <c r="F93" s="20"/>
      <c r="G93" s="20"/>
      <c r="H93" s="20"/>
      <c r="K93" s="21"/>
      <c r="L93" t="str">
        <f t="shared" ca="1" si="6"/>
        <v/>
      </c>
      <c r="O93" s="31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5"/>
      <c r="BM93" s="35"/>
      <c r="BN93" s="35"/>
      <c r="BO93" s="35"/>
      <c r="BP93" s="35"/>
      <c r="BQ93" s="35"/>
      <c r="BR93" s="35"/>
      <c r="BS93" s="35"/>
      <c r="BT93" s="35"/>
      <c r="BU93" s="35"/>
      <c r="BV93" s="35"/>
      <c r="BW93" s="35"/>
      <c r="BX93" s="35"/>
      <c r="BY93" s="35"/>
      <c r="BZ93" s="35"/>
      <c r="CA93" s="35"/>
      <c r="CB93" s="35"/>
      <c r="CC93" s="35"/>
      <c r="CD93" s="35"/>
      <c r="CE93" s="35"/>
      <c r="CF93" s="35"/>
      <c r="CG93" s="35"/>
      <c r="CH93" s="35"/>
      <c r="CI93" s="35"/>
      <c r="CJ93" s="35"/>
      <c r="CK93" s="35"/>
      <c r="CL93" s="35"/>
      <c r="CM93" s="35"/>
      <c r="CN93" s="35"/>
      <c r="CO93" s="35"/>
      <c r="CP93" s="35"/>
      <c r="CQ93" s="35"/>
      <c r="CR93" s="35"/>
      <c r="CS93" s="35"/>
      <c r="CT93" s="35"/>
      <c r="CU93" s="35"/>
      <c r="CV93" s="35"/>
      <c r="CW93" s="35"/>
      <c r="CX93" s="35"/>
      <c r="CY93" s="35"/>
      <c r="CZ93" s="35"/>
      <c r="DA93" s="35"/>
      <c r="DB93" s="35"/>
      <c r="DC93" s="35"/>
      <c r="DD93" s="35"/>
      <c r="DE93" s="35"/>
      <c r="DF93" s="35"/>
      <c r="DG93" s="35"/>
      <c r="DH93" s="35"/>
      <c r="DI93" s="35"/>
      <c r="DJ93" s="35"/>
      <c r="DK93" s="35"/>
      <c r="DL93" s="35"/>
      <c r="DM93" s="35"/>
      <c r="DN93" s="35"/>
      <c r="DO93" t="str">
        <f t="shared" si="7"/>
        <v/>
      </c>
    </row>
    <row r="94" spans="5:119" ht="18.95" customHeight="1" x14ac:dyDescent="0.25">
      <c r="E94" s="20"/>
      <c r="F94" s="20"/>
      <c r="G94" s="20"/>
      <c r="H94" s="20"/>
      <c r="K94" s="21"/>
      <c r="L94" t="str">
        <f t="shared" ca="1" si="6"/>
        <v/>
      </c>
      <c r="O94" s="23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5"/>
      <c r="BC94" s="35"/>
      <c r="BD94" s="35"/>
      <c r="BE94" s="35"/>
      <c r="BF94" s="35"/>
      <c r="BG94" s="35"/>
      <c r="BH94" s="35"/>
      <c r="BI94" s="35"/>
      <c r="BJ94" s="35"/>
      <c r="BK94" s="35"/>
      <c r="BL94" s="35"/>
      <c r="BM94" s="35"/>
      <c r="BN94" s="35"/>
      <c r="BO94" s="35"/>
      <c r="BP94" s="35"/>
      <c r="BQ94" s="35"/>
      <c r="BR94" s="35"/>
      <c r="BS94" s="35"/>
      <c r="BT94" s="35"/>
      <c r="BU94" s="35"/>
      <c r="BV94" s="35"/>
      <c r="BW94" s="35"/>
      <c r="BX94" s="35"/>
      <c r="BY94" s="35"/>
      <c r="BZ94" s="35"/>
      <c r="CA94" s="35"/>
      <c r="CB94" s="35"/>
      <c r="CC94" s="35"/>
      <c r="CD94" s="35"/>
      <c r="CE94" s="35"/>
      <c r="CF94" s="35"/>
      <c r="CG94" s="35"/>
      <c r="CH94" s="35"/>
      <c r="CI94" s="35"/>
      <c r="CJ94" s="35"/>
      <c r="CK94" s="35"/>
      <c r="CL94" s="35"/>
      <c r="CM94" s="35"/>
      <c r="CN94" s="35"/>
      <c r="CO94" s="35"/>
      <c r="CP94" s="35"/>
      <c r="CQ94" s="35"/>
      <c r="CR94" s="35"/>
      <c r="CS94" s="35"/>
      <c r="CT94" s="35"/>
      <c r="CU94" s="35"/>
      <c r="CV94" s="35"/>
      <c r="CW94" s="35"/>
      <c r="CX94" s="35"/>
      <c r="CY94" s="35"/>
      <c r="CZ94" s="35"/>
      <c r="DA94" s="35"/>
      <c r="DB94" s="35"/>
      <c r="DC94" s="35"/>
      <c r="DD94" s="35"/>
      <c r="DE94" s="35"/>
      <c r="DF94" s="35"/>
      <c r="DG94" s="35"/>
      <c r="DH94" s="35"/>
      <c r="DI94" s="35"/>
      <c r="DJ94" s="35"/>
      <c r="DK94" s="35"/>
      <c r="DL94" s="35"/>
      <c r="DM94" s="35"/>
      <c r="DN94" s="35"/>
      <c r="DO94" t="str">
        <f t="shared" si="7"/>
        <v/>
      </c>
    </row>
    <row r="95" spans="5:119" ht="18.95" customHeight="1" x14ac:dyDescent="0.25">
      <c r="E95" s="20"/>
      <c r="F95" s="20"/>
      <c r="G95" s="20"/>
      <c r="H95" s="20"/>
      <c r="K95" s="21"/>
      <c r="L95" t="str">
        <f t="shared" ca="1" si="6"/>
        <v/>
      </c>
      <c r="O95" s="31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5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5"/>
      <c r="CR95" s="35"/>
      <c r="CS95" s="35"/>
      <c r="CT95" s="35"/>
      <c r="CU95" s="35"/>
      <c r="CV95" s="35"/>
      <c r="CW95" s="35"/>
      <c r="CX95" s="35"/>
      <c r="CY95" s="35"/>
      <c r="CZ95" s="35"/>
      <c r="DA95" s="35"/>
      <c r="DB95" s="35"/>
      <c r="DC95" s="35"/>
      <c r="DD95" s="35"/>
      <c r="DE95" s="35"/>
      <c r="DF95" s="35"/>
      <c r="DG95" s="35"/>
      <c r="DH95" s="35"/>
      <c r="DI95" s="35"/>
      <c r="DJ95" s="35"/>
      <c r="DK95" s="35"/>
      <c r="DL95" s="35"/>
      <c r="DM95" s="35"/>
      <c r="DN95" s="35"/>
      <c r="DO95" t="str">
        <f t="shared" si="7"/>
        <v/>
      </c>
    </row>
    <row r="96" spans="5:119" ht="18.95" customHeight="1" x14ac:dyDescent="0.25">
      <c r="E96" s="20"/>
      <c r="F96" s="20"/>
      <c r="G96" s="20"/>
      <c r="H96" s="20"/>
      <c r="K96" s="21"/>
      <c r="L96" t="str">
        <f t="shared" ca="1" si="6"/>
        <v/>
      </c>
      <c r="O96" s="23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35"/>
      <c r="BA96" s="35"/>
      <c r="BB96" s="35"/>
      <c r="BC96" s="35"/>
      <c r="BD96" s="35"/>
      <c r="BE96" s="35"/>
      <c r="BF96" s="35"/>
      <c r="BG96" s="35"/>
      <c r="BH96" s="35"/>
      <c r="BI96" s="35"/>
      <c r="BJ96" s="35"/>
      <c r="BK96" s="35"/>
      <c r="BL96" s="35"/>
      <c r="BM96" s="35"/>
      <c r="BN96" s="35"/>
      <c r="BO96" s="35"/>
      <c r="BP96" s="35"/>
      <c r="BQ96" s="35"/>
      <c r="BR96" s="35"/>
      <c r="BS96" s="35"/>
      <c r="BT96" s="35"/>
      <c r="BU96" s="35"/>
      <c r="BV96" s="35"/>
      <c r="BW96" s="35"/>
      <c r="BX96" s="35"/>
      <c r="BY96" s="35"/>
      <c r="BZ96" s="35"/>
      <c r="CA96" s="35"/>
      <c r="CB96" s="35"/>
      <c r="CC96" s="35"/>
      <c r="CD96" s="35"/>
      <c r="CE96" s="35"/>
      <c r="CF96" s="35"/>
      <c r="CG96" s="35"/>
      <c r="CH96" s="35"/>
      <c r="CI96" s="35"/>
      <c r="CJ96" s="35"/>
      <c r="CK96" s="35"/>
      <c r="CL96" s="35"/>
      <c r="CM96" s="35"/>
      <c r="CN96" s="35"/>
      <c r="CO96" s="35"/>
      <c r="CP96" s="35"/>
      <c r="CQ96" s="35"/>
      <c r="CR96" s="35"/>
      <c r="CS96" s="35"/>
      <c r="CT96" s="35"/>
      <c r="CU96" s="35"/>
      <c r="CV96" s="35"/>
      <c r="CW96" s="35"/>
      <c r="CX96" s="35"/>
      <c r="CY96" s="35"/>
      <c r="CZ96" s="35"/>
      <c r="DA96" s="35"/>
      <c r="DB96" s="35"/>
      <c r="DC96" s="35"/>
      <c r="DD96" s="35"/>
      <c r="DE96" s="35"/>
      <c r="DF96" s="35"/>
      <c r="DG96" s="35"/>
      <c r="DH96" s="35"/>
      <c r="DI96" s="35"/>
      <c r="DJ96" s="35"/>
      <c r="DK96" s="35"/>
      <c r="DL96" s="35"/>
      <c r="DM96" s="35"/>
      <c r="DN96" s="35"/>
      <c r="DO96" t="str">
        <f t="shared" si="7"/>
        <v/>
      </c>
    </row>
  </sheetData>
  <mergeCells count="6">
    <mergeCell ref="B1:F1"/>
    <mergeCell ref="B2:J2"/>
    <mergeCell ref="B4:C4"/>
    <mergeCell ref="H4:K4"/>
    <mergeCell ref="B5:C5"/>
    <mergeCell ref="H5:K5"/>
  </mergeCells>
  <conditionalFormatting sqref="L35:L96 L9:L18 L25">
    <cfRule type="cellIs" dxfId="6" priority="1" stopIfTrue="1" operator="equal">
      <formula>"On Track"</formula>
    </cfRule>
    <cfRule type="cellIs" dxfId="5" priority="2" stopIfTrue="1" operator="equal">
      <formula>"Behind"</formula>
    </cfRule>
    <cfRule type="cellIs" dxfId="4" priority="3" stopIfTrue="1" operator="equal">
      <formula>"Complete"</formula>
    </cfRule>
    <cfRule type="cellIs" dxfId="3" priority="4" stopIfTrue="1" operator="equal">
      <formula>"Not Started"</formula>
    </cfRule>
  </conditionalFormatting>
  <conditionalFormatting sqref="O8:DN8">
    <cfRule type="expression" dxfId="2" priority="5" stopIfTrue="1">
      <formula>AND(O$8&lt;&gt;"",TODAY()&gt;=O$8,TODAY()&lt;O$8+7)</formula>
    </cfRule>
  </conditionalFormatting>
  <conditionalFormatting sqref="K35:K96 K9:K18 K25">
    <cfRule type="dataBar" priority="6">
      <dataBar>
        <cfvo type="num" val="0"/>
        <cfvo type="num" val="1"/>
        <color rgb="FF2563EB"/>
      </dataBar>
      <extLst>
        <ext xmlns:x14="http://schemas.microsoft.com/office/spreadsheetml/2009/9/main" uri="{B025F937-C7B1-47D3-B67F-A62EFF666E3E}">
          <x14:id>{C806F82A-57F7-4B2A-9393-5176DDFABFFA}</x14:id>
        </ext>
      </extLst>
    </cfRule>
  </conditionalFormatting>
  <conditionalFormatting sqref="O9:DN9 P10:DN17 O18:DN18 O35:DN96 P25:DN25">
    <cfRule type="expression" dxfId="1" priority="7" stopIfTrue="1">
      <formula>AND(O$8&lt;&gt;"",O$8+6&gt;=$E9,O$8&lt;=$G9,$J9&lt;&gt;"",$J9&gt;$I9)</formula>
    </cfRule>
    <cfRule type="expression" dxfId="0" priority="8" stopIfTrue="1">
      <formula>AND(O$8&lt;&gt;"",O$8+6&gt;=$E9,O$8&lt;=$G9,OR($J9="",$J9&lt;=$I9))</formula>
    </cfRule>
  </conditionalFormatting>
  <dataValidations count="2">
    <dataValidation type="decimal" allowBlank="1" showInputMessage="1" showErrorMessage="1" sqref="K35:K96 K9:K25" xr:uid="{1F68821E-3AF5-4812-AD3B-E392497B5DA9}">
      <formula1>0</formula1>
      <formula2>1</formula2>
    </dataValidation>
    <dataValidation type="whole" allowBlank="1" showInputMessage="1" showErrorMessage="1" sqref="I35:J96 I9:J25" xr:uid="{130C7D04-CD51-4FFA-9E55-FCE0283894F5}">
      <formula1>1</formula1>
      <formula2>365</formula2>
    </dataValidation>
  </dataValidations>
  <hyperlinks>
    <hyperlink ref="B1" location="'Program Dashboard'!A1" tooltip="Return to Program Dashboard" display="‹  Program Dashboard" xr:uid="{74DD163E-D44B-4F23-8F7C-38029F7A3994}"/>
  </hyperlinks>
  <pageMargins left="0.75" right="0.75" top="1" bottom="1" header="0.5" footer="0.5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06F82A-57F7-4B2A-9393-5176DDFABFFA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K35:K96 K9:K18 K25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A77CB-4B12-4215-B32D-F9B96C71CD44}">
  <sheetPr codeName="Sheet5"/>
  <dimension ref="C9:C18"/>
  <sheetViews>
    <sheetView workbookViewId="0">
      <selection activeCell="C30" sqref="C30"/>
    </sheetView>
  </sheetViews>
  <sheetFormatPr defaultRowHeight="15" x14ac:dyDescent="0.25"/>
  <cols>
    <col min="3" max="3" width="10.7109375" bestFit="1" customWidth="1"/>
  </cols>
  <sheetData>
    <row r="9" spans="3:3" x14ac:dyDescent="0.25">
      <c r="C9" s="45">
        <v>46167</v>
      </c>
    </row>
    <row r="10" spans="3:3" x14ac:dyDescent="0.25">
      <c r="C10" s="45">
        <v>46205</v>
      </c>
    </row>
    <row r="11" spans="3:3" x14ac:dyDescent="0.25">
      <c r="C11" s="45">
        <v>46206</v>
      </c>
    </row>
    <row r="12" spans="3:3" x14ac:dyDescent="0.25">
      <c r="C12" s="45">
        <v>46207</v>
      </c>
    </row>
    <row r="13" spans="3:3" x14ac:dyDescent="0.25">
      <c r="C13" s="45">
        <v>46272</v>
      </c>
    </row>
    <row r="14" spans="3:3" x14ac:dyDescent="0.25">
      <c r="C14" s="45">
        <v>46350</v>
      </c>
    </row>
    <row r="15" spans="3:3" x14ac:dyDescent="0.25">
      <c r="C15" s="45">
        <v>46351</v>
      </c>
    </row>
    <row r="16" spans="3:3" x14ac:dyDescent="0.25">
      <c r="C16" s="45">
        <v>46379</v>
      </c>
    </row>
    <row r="17" spans="3:3" x14ac:dyDescent="0.25">
      <c r="C17" s="45">
        <v>46380</v>
      </c>
    </row>
    <row r="18" spans="3:3" x14ac:dyDescent="0.25">
      <c r="C18" s="45">
        <v>46381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Program Dashboard</vt:lpstr>
      <vt:lpstr>Template</vt:lpstr>
      <vt:lpstr>184K334H01</vt:lpstr>
      <vt:lpstr>1TD1351A10015-1010</vt:lpstr>
      <vt:lpstr>280-331-310</vt:lpstr>
      <vt:lpstr>1TD1351A10015-1009</vt:lpstr>
      <vt:lpstr>Holiday Schedule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Jordan Greer</cp:lastModifiedBy>
  <dcterms:created xsi:type="dcterms:W3CDTF">2026-06-13T21:33:17Z</dcterms:created>
  <dcterms:modified xsi:type="dcterms:W3CDTF">2026-06-16T18:47:43Z</dcterms:modified>
</cp:coreProperties>
</file>