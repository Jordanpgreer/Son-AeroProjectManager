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omments4.xml" ContentType="application/vnd.openxmlformats-officedocument.spreadsheetml.comment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omments5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omments6.xml" ContentType="application/vnd.openxmlformats-officedocument.spreadsheetml.comment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omments7.xml" ContentType="application/vnd.openxmlformats-officedocument.spreadsheetml.comments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omments8.xml" ContentType="application/vnd.openxmlformats-officedocument.spreadsheetml.comments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omments9.xml" ContentType="application/vnd.openxmlformats-officedocument.spreadsheetml.comments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omments10.xml" ContentType="application/vnd.openxmlformats-officedocument.spreadsheetml.comments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omments11.xml" ContentType="application/vnd.openxmlformats-officedocument.spreadsheetml.comments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omments12.xml" ContentType="application/vnd.openxmlformats-officedocument.spreadsheetml.comments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omments13.xml" ContentType="application/vnd.openxmlformats-officedocument.spreadsheetml.comments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24226"/>
  <xr:revisionPtr revIDLastSave="0" documentId="13_ncr:1_{9649CC88-3B96-49E2-926B-0DDCE0151795}" xr6:coauthVersionLast="47" xr6:coauthVersionMax="47" xr10:uidLastSave="{00000000-0000-0000-0000-000000000000}"/>
  <bookViews>
    <workbookView xWindow="-120" yWindow="-120" windowWidth="29040" windowHeight="15720" tabRatio="673" xr2:uid="{00000000-000D-0000-FFFF-FFFF00000000}"/>
  </bookViews>
  <sheets>
    <sheet name="Top Assy" sheetId="1" r:id="rId1"/>
    <sheet name="Subassy 1" sheetId="2" r:id="rId2"/>
    <sheet name="Subassy 2" sheetId="5" r:id="rId3"/>
    <sheet name="Subassy 3" sheetId="6" r:id="rId4"/>
    <sheet name="Subassy 4" sheetId="7" r:id="rId5"/>
    <sheet name="Subassy 5" sheetId="8" r:id="rId6"/>
    <sheet name="Subassy 6" sheetId="9" r:id="rId7"/>
    <sheet name="Subassy 7" sheetId="10" r:id="rId8"/>
    <sheet name="Subassy 8" sheetId="11" r:id="rId9"/>
    <sheet name="Subassy 9" sheetId="12" r:id="rId10"/>
    <sheet name="Subassy 10" sheetId="13" r:id="rId11"/>
    <sheet name="Subassy 11" sheetId="14" r:id="rId12"/>
    <sheet name="Subassy 12" sheetId="15" r:id="rId13"/>
  </sheets>
  <definedNames>
    <definedName name="_xlnm.Print_Area" localSheetId="1">'Subassy 1'!$A$2:$N$63</definedName>
    <definedName name="_xlnm.Print_Area" localSheetId="10">'Subassy 10'!$A$2:$N$63</definedName>
    <definedName name="_xlnm.Print_Area" localSheetId="11">'Subassy 11'!$A$2:$N$63</definedName>
    <definedName name="_xlnm.Print_Area" localSheetId="12">'Subassy 12'!$A$2:$N$63</definedName>
    <definedName name="_xlnm.Print_Area" localSheetId="2">'Subassy 2'!$A$2:$N$63</definedName>
    <definedName name="_xlnm.Print_Area" localSheetId="3">'Subassy 3'!$A$2:$N$63</definedName>
    <definedName name="_xlnm.Print_Area" localSheetId="4">'Subassy 4'!$A$2:$N$63</definedName>
    <definedName name="_xlnm.Print_Area" localSheetId="5">'Subassy 5'!$A$2:$N$63</definedName>
    <definedName name="_xlnm.Print_Area" localSheetId="6">'Subassy 6'!$A$2:$N$63</definedName>
    <definedName name="_xlnm.Print_Area" localSheetId="7">'Subassy 7'!$A$2:$N$63</definedName>
    <definedName name="_xlnm.Print_Area" localSheetId="8">'Subassy 8'!$A$2:$N$63</definedName>
    <definedName name="_xlnm.Print_Area" localSheetId="9">'Subassy 9'!$A$2:$N$63</definedName>
    <definedName name="_xlnm.Print_Area" localSheetId="0">'Top Assy'!$A$2:$N$82</definedName>
    <definedName name="Subassembly">'Top Assy'!$A$91:$I$103</definedName>
    <definedName name="Year">'Top Assy'!$B$9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" i="15" l="1"/>
  <c r="B6" i="14"/>
  <c r="B6" i="13"/>
  <c r="B6" i="12"/>
  <c r="B6" i="11"/>
  <c r="B6" i="10"/>
  <c r="B6" i="9"/>
  <c r="B6" i="8"/>
  <c r="B6" i="7"/>
  <c r="B6" i="6"/>
  <c r="B6" i="5"/>
  <c r="B6" i="2"/>
  <c r="B6" i="1"/>
  <c r="K13" i="15" l="1"/>
  <c r="L13" i="15"/>
  <c r="M13" i="15"/>
  <c r="J48" i="15"/>
  <c r="J47" i="15"/>
  <c r="K46" i="15"/>
  <c r="J13" i="15"/>
  <c r="J50" i="15" s="1"/>
  <c r="K13" i="14"/>
  <c r="L13" i="14"/>
  <c r="M13" i="14"/>
  <c r="J50" i="14"/>
  <c r="K46" i="14"/>
  <c r="J13" i="14"/>
  <c r="J13" i="13"/>
  <c r="J48" i="13" s="1"/>
  <c r="K13" i="13"/>
  <c r="K46" i="13" s="1"/>
  <c r="L13" i="13"/>
  <c r="M13" i="13"/>
  <c r="J13" i="12"/>
  <c r="K13" i="12"/>
  <c r="K46" i="12" s="1"/>
  <c r="L13" i="12"/>
  <c r="M13" i="12"/>
  <c r="J13" i="11"/>
  <c r="K13" i="11"/>
  <c r="L13" i="11"/>
  <c r="M13" i="11"/>
  <c r="J48" i="11"/>
  <c r="J47" i="11"/>
  <c r="K46" i="11"/>
  <c r="J46" i="11"/>
  <c r="I13" i="10"/>
  <c r="J13" i="10"/>
  <c r="J47" i="10" s="1"/>
  <c r="K13" i="10"/>
  <c r="L13" i="10"/>
  <c r="M13" i="10"/>
  <c r="J48" i="10"/>
  <c r="I13" i="9"/>
  <c r="J13" i="9"/>
  <c r="J48" i="9" s="1"/>
  <c r="K13" i="9"/>
  <c r="L13" i="9"/>
  <c r="M13" i="9"/>
  <c r="H13" i="8"/>
  <c r="I13" i="8"/>
  <c r="J13" i="8"/>
  <c r="K13" i="8"/>
  <c r="L13" i="8"/>
  <c r="M13" i="8"/>
  <c r="K46" i="8"/>
  <c r="J13" i="7"/>
  <c r="J48" i="7" s="1"/>
  <c r="K13" i="7"/>
  <c r="K46" i="7" s="1"/>
  <c r="L13" i="7"/>
  <c r="M13" i="7"/>
  <c r="H13" i="6"/>
  <c r="I13" i="6"/>
  <c r="I47" i="6" s="1"/>
  <c r="J13" i="6"/>
  <c r="K13" i="6"/>
  <c r="L13" i="6"/>
  <c r="M13" i="6"/>
  <c r="H13" i="5"/>
  <c r="I13" i="5"/>
  <c r="J13" i="5"/>
  <c r="K13" i="5"/>
  <c r="L13" i="5"/>
  <c r="M13" i="5"/>
  <c r="H13" i="2"/>
  <c r="I13" i="2"/>
  <c r="J13" i="2"/>
  <c r="K13" i="2"/>
  <c r="L13" i="2"/>
  <c r="M13" i="2"/>
  <c r="J47" i="6"/>
  <c r="J46" i="6"/>
  <c r="I48" i="5"/>
  <c r="I47" i="5"/>
  <c r="J46" i="5"/>
  <c r="J32" i="2"/>
  <c r="J34" i="2"/>
  <c r="J38" i="2"/>
  <c r="J39" i="2"/>
  <c r="K39" i="2"/>
  <c r="J40" i="2"/>
  <c r="J41" i="2"/>
  <c r="J42" i="2"/>
  <c r="K42" i="2"/>
  <c r="J43" i="2"/>
  <c r="J47" i="2"/>
  <c r="J48" i="2"/>
  <c r="K48" i="2"/>
  <c r="J49" i="2"/>
  <c r="J50" i="2"/>
  <c r="I107" i="1"/>
  <c r="I108" i="1"/>
  <c r="I109" i="1"/>
  <c r="I110" i="1"/>
  <c r="I111" i="1"/>
  <c r="I112" i="1"/>
  <c r="I113" i="1"/>
  <c r="I114" i="1"/>
  <c r="I115" i="1"/>
  <c r="I116" i="1"/>
  <c r="I117" i="1"/>
  <c r="I118" i="1"/>
  <c r="Q79" i="1"/>
  <c r="Q80" i="1"/>
  <c r="Q78" i="1"/>
  <c r="Q77" i="1"/>
  <c r="Q75" i="1"/>
  <c r="Q76" i="1"/>
  <c r="J27" i="1"/>
  <c r="K27" i="1"/>
  <c r="J32" i="1"/>
  <c r="K32" i="1"/>
  <c r="D28" i="2"/>
  <c r="B124" i="1"/>
  <c r="C28" i="15"/>
  <c r="K27" i="15" s="1"/>
  <c r="B28" i="15"/>
  <c r="J27" i="15" s="1"/>
  <c r="C28" i="14"/>
  <c r="B28" i="14"/>
  <c r="J27" i="14" s="1"/>
  <c r="C28" i="13"/>
  <c r="B28" i="13"/>
  <c r="J27" i="13" s="1"/>
  <c r="C28" i="12"/>
  <c r="B28" i="12"/>
  <c r="B28" i="11"/>
  <c r="J27" i="11" s="1"/>
  <c r="C28" i="11"/>
  <c r="K27" i="11" s="1"/>
  <c r="B28" i="10"/>
  <c r="J27" i="10" s="1"/>
  <c r="C28" i="10"/>
  <c r="C28" i="9"/>
  <c r="B28" i="9"/>
  <c r="J27" i="9" s="1"/>
  <c r="B28" i="8"/>
  <c r="J27" i="8" s="1"/>
  <c r="C28" i="8"/>
  <c r="B28" i="7"/>
  <c r="J27" i="7" s="1"/>
  <c r="C28" i="7"/>
  <c r="C28" i="5"/>
  <c r="B28" i="5"/>
  <c r="J27" i="5" s="1"/>
  <c r="C28" i="6"/>
  <c r="B28" i="6"/>
  <c r="J27" i="6" s="1"/>
  <c r="D28" i="15" l="1"/>
  <c r="D28" i="1"/>
  <c r="E21" i="1"/>
  <c r="J21" i="1" s="1"/>
  <c r="E25" i="5"/>
  <c r="I25" i="5" s="1"/>
  <c r="J27" i="12"/>
  <c r="K27" i="14"/>
  <c r="K27" i="12"/>
  <c r="K27" i="8"/>
  <c r="K27" i="7"/>
  <c r="J46" i="15"/>
  <c r="K47" i="15"/>
  <c r="K48" i="15"/>
  <c r="J32" i="15"/>
  <c r="J49" i="15"/>
  <c r="K32" i="15"/>
  <c r="K49" i="15"/>
  <c r="K50" i="15"/>
  <c r="J46" i="14"/>
  <c r="J47" i="14"/>
  <c r="K47" i="14"/>
  <c r="K48" i="14"/>
  <c r="J32" i="14"/>
  <c r="J49" i="14"/>
  <c r="J48" i="14"/>
  <c r="K32" i="14"/>
  <c r="K49" i="14"/>
  <c r="K50" i="14"/>
  <c r="K27" i="13"/>
  <c r="J46" i="13"/>
  <c r="J47" i="13"/>
  <c r="K47" i="13"/>
  <c r="K48" i="13"/>
  <c r="J32" i="13"/>
  <c r="J49" i="13"/>
  <c r="J52" i="13" s="1"/>
  <c r="J59" i="13" s="1"/>
  <c r="K32" i="13"/>
  <c r="K49" i="13"/>
  <c r="J50" i="13"/>
  <c r="K50" i="13"/>
  <c r="J46" i="12"/>
  <c r="J47" i="12"/>
  <c r="K47" i="12"/>
  <c r="K52" i="12" s="1"/>
  <c r="K59" i="12" s="1"/>
  <c r="J48" i="12"/>
  <c r="K48" i="12"/>
  <c r="J32" i="12"/>
  <c r="J49" i="12"/>
  <c r="K32" i="12"/>
  <c r="K49" i="12"/>
  <c r="J50" i="12"/>
  <c r="K50" i="12"/>
  <c r="K48" i="11"/>
  <c r="J32" i="11"/>
  <c r="J49" i="11"/>
  <c r="J52" i="11" s="1"/>
  <c r="J59" i="11" s="1"/>
  <c r="K32" i="11"/>
  <c r="K49" i="11"/>
  <c r="K47" i="11"/>
  <c r="J50" i="11"/>
  <c r="K50" i="11"/>
  <c r="K50" i="10"/>
  <c r="J46" i="10"/>
  <c r="K48" i="10"/>
  <c r="J32" i="10"/>
  <c r="J49" i="10"/>
  <c r="K32" i="10"/>
  <c r="K49" i="10"/>
  <c r="K27" i="10"/>
  <c r="K46" i="10"/>
  <c r="K47" i="10"/>
  <c r="J50" i="10"/>
  <c r="J47" i="9"/>
  <c r="J46" i="9"/>
  <c r="K47" i="9"/>
  <c r="K48" i="9"/>
  <c r="K27" i="9"/>
  <c r="J32" i="9"/>
  <c r="J49" i="9"/>
  <c r="K32" i="9"/>
  <c r="K49" i="9"/>
  <c r="K46" i="9"/>
  <c r="J50" i="9"/>
  <c r="K50" i="9"/>
  <c r="J46" i="8"/>
  <c r="J47" i="8"/>
  <c r="K47" i="8"/>
  <c r="J48" i="8"/>
  <c r="K48" i="8"/>
  <c r="J32" i="8"/>
  <c r="J49" i="8"/>
  <c r="K32" i="8"/>
  <c r="K49" i="8"/>
  <c r="J50" i="8"/>
  <c r="K50" i="8"/>
  <c r="J47" i="7"/>
  <c r="J46" i="7"/>
  <c r="K48" i="7"/>
  <c r="J32" i="7"/>
  <c r="J49" i="7"/>
  <c r="K47" i="7"/>
  <c r="K32" i="7"/>
  <c r="K49" i="7"/>
  <c r="J50" i="7"/>
  <c r="K50" i="7"/>
  <c r="I48" i="6"/>
  <c r="I27" i="5"/>
  <c r="K41" i="2"/>
  <c r="J35" i="2"/>
  <c r="K50" i="2"/>
  <c r="K34" i="2"/>
  <c r="I27" i="6"/>
  <c r="I46" i="6"/>
  <c r="J48" i="6"/>
  <c r="I32" i="6"/>
  <c r="I49" i="6"/>
  <c r="J32" i="6"/>
  <c r="J49" i="6"/>
  <c r="I50" i="6"/>
  <c r="J50" i="6"/>
  <c r="I46" i="5"/>
  <c r="J47" i="5"/>
  <c r="J48" i="5"/>
  <c r="I32" i="5"/>
  <c r="I49" i="5"/>
  <c r="J32" i="5"/>
  <c r="J49" i="5"/>
  <c r="I50" i="5"/>
  <c r="J50" i="5"/>
  <c r="I119" i="1"/>
  <c r="K49" i="2"/>
  <c r="K40" i="2"/>
  <c r="K32" i="2"/>
  <c r="K47" i="2"/>
  <c r="K38" i="2"/>
  <c r="K46" i="2"/>
  <c r="K37" i="2"/>
  <c r="J46" i="2"/>
  <c r="J52" i="2" s="1"/>
  <c r="J59" i="2" s="1"/>
  <c r="J37" i="2"/>
  <c r="K44" i="2"/>
  <c r="K36" i="2"/>
  <c r="J44" i="2"/>
  <c r="J36" i="2"/>
  <c r="K43" i="2"/>
  <c r="K35" i="2"/>
  <c r="E21" i="9"/>
  <c r="J21" i="9" s="1"/>
  <c r="E19" i="11"/>
  <c r="E18" i="12"/>
  <c r="J18" i="12" s="1"/>
  <c r="E17" i="13"/>
  <c r="K17" i="13" s="1"/>
  <c r="E16" i="14"/>
  <c r="K16" i="14" s="1"/>
  <c r="E15" i="15"/>
  <c r="E22" i="1"/>
  <c r="E15" i="2"/>
  <c r="E14" i="5"/>
  <c r="D28" i="5"/>
  <c r="E25" i="6"/>
  <c r="J25" i="6" s="1"/>
  <c r="E24" i="7"/>
  <c r="J24" i="7" s="1"/>
  <c r="E23" i="8"/>
  <c r="K23" i="8" s="1"/>
  <c r="E22" i="9"/>
  <c r="J22" i="9" s="1"/>
  <c r="E21" i="10"/>
  <c r="J21" i="10" s="1"/>
  <c r="E20" i="11"/>
  <c r="J20" i="11" s="1"/>
  <c r="E19" i="12"/>
  <c r="K19" i="12" s="1"/>
  <c r="E18" i="13"/>
  <c r="J18" i="13" s="1"/>
  <c r="E17" i="14"/>
  <c r="K17" i="14" s="1"/>
  <c r="E16" i="15"/>
  <c r="J16" i="15" s="1"/>
  <c r="E25" i="1"/>
  <c r="E18" i="2"/>
  <c r="J18" i="2" s="1"/>
  <c r="E17" i="5"/>
  <c r="J17" i="5" s="1"/>
  <c r="E16" i="6"/>
  <c r="E15" i="7"/>
  <c r="E14" i="8"/>
  <c r="D28" i="8"/>
  <c r="E25" i="9"/>
  <c r="J25" i="9" s="1"/>
  <c r="E24" i="10"/>
  <c r="J24" i="10" s="1"/>
  <c r="E23" i="11"/>
  <c r="K23" i="11" s="1"/>
  <c r="E22" i="12"/>
  <c r="J22" i="12" s="1"/>
  <c r="E21" i="13"/>
  <c r="J21" i="13" s="1"/>
  <c r="E20" i="14"/>
  <c r="J20" i="14" s="1"/>
  <c r="E19" i="15"/>
  <c r="K19" i="15" s="1"/>
  <c r="E22" i="8"/>
  <c r="K22" i="8" s="1"/>
  <c r="E14" i="6"/>
  <c r="E20" i="12"/>
  <c r="E17" i="2"/>
  <c r="J17" i="2" s="1"/>
  <c r="E25" i="8"/>
  <c r="J25" i="8" s="1"/>
  <c r="E20" i="13"/>
  <c r="J20" i="13" s="1"/>
  <c r="E14" i="1"/>
  <c r="E19" i="2"/>
  <c r="K19" i="2" s="1"/>
  <c r="E18" i="5"/>
  <c r="I18" i="5" s="1"/>
  <c r="E17" i="6"/>
  <c r="J17" i="6" s="1"/>
  <c r="E16" i="7"/>
  <c r="J16" i="7" s="1"/>
  <c r="E15" i="8"/>
  <c r="E14" i="9"/>
  <c r="D28" i="9"/>
  <c r="E25" i="10"/>
  <c r="J25" i="10" s="1"/>
  <c r="E24" i="11"/>
  <c r="K24" i="11" s="1"/>
  <c r="E23" i="12"/>
  <c r="J23" i="12" s="1"/>
  <c r="E22" i="13"/>
  <c r="J22" i="13" s="1"/>
  <c r="E21" i="14"/>
  <c r="K21" i="14" s="1"/>
  <c r="E20" i="15"/>
  <c r="J20" i="15" s="1"/>
  <c r="D28" i="6"/>
  <c r="E19" i="13"/>
  <c r="E14" i="7"/>
  <c r="E19" i="14"/>
  <c r="K19" i="14" s="1"/>
  <c r="E15" i="1"/>
  <c r="E62" i="1"/>
  <c r="E20" i="2"/>
  <c r="J20" i="2" s="1"/>
  <c r="E19" i="5"/>
  <c r="J19" i="5" s="1"/>
  <c r="E18" i="6"/>
  <c r="I18" i="6" s="1"/>
  <c r="E17" i="7"/>
  <c r="K17" i="7" s="1"/>
  <c r="E16" i="8"/>
  <c r="J16" i="8" s="1"/>
  <c r="E15" i="9"/>
  <c r="E14" i="10"/>
  <c r="D28" i="10"/>
  <c r="E25" i="11"/>
  <c r="J25" i="11" s="1"/>
  <c r="E24" i="12"/>
  <c r="J24" i="12" s="1"/>
  <c r="E23" i="13"/>
  <c r="K23" i="13" s="1"/>
  <c r="E22" i="14"/>
  <c r="K22" i="14" s="1"/>
  <c r="E21" i="15"/>
  <c r="E20" i="10"/>
  <c r="J20" i="10" s="1"/>
  <c r="E25" i="7"/>
  <c r="K25" i="7" s="1"/>
  <c r="D28" i="7"/>
  <c r="E18" i="15"/>
  <c r="J18" i="15" s="1"/>
  <c r="E16" i="1"/>
  <c r="E63" i="1"/>
  <c r="E21" i="2"/>
  <c r="E20" i="5"/>
  <c r="I20" i="5" s="1"/>
  <c r="E19" i="6"/>
  <c r="J19" i="6" s="1"/>
  <c r="E18" i="7"/>
  <c r="J18" i="7" s="1"/>
  <c r="E17" i="8"/>
  <c r="K17" i="8" s="1"/>
  <c r="E16" i="9"/>
  <c r="J16" i="9" s="1"/>
  <c r="E15" i="10"/>
  <c r="E14" i="11"/>
  <c r="D28" i="11"/>
  <c r="E25" i="12"/>
  <c r="K25" i="12" s="1"/>
  <c r="E24" i="13"/>
  <c r="J24" i="13" s="1"/>
  <c r="E23" i="14"/>
  <c r="J23" i="14" s="1"/>
  <c r="E22" i="15"/>
  <c r="J22" i="15" s="1"/>
  <c r="E14" i="2"/>
  <c r="E23" i="9"/>
  <c r="K23" i="9" s="1"/>
  <c r="E24" i="1"/>
  <c r="E24" i="9"/>
  <c r="J24" i="9" s="1"/>
  <c r="E17" i="1"/>
  <c r="E64" i="1"/>
  <c r="E22" i="2"/>
  <c r="J22" i="2" s="1"/>
  <c r="E21" i="5"/>
  <c r="I21" i="5" s="1"/>
  <c r="E20" i="6"/>
  <c r="E19" i="7"/>
  <c r="K19" i="7" s="1"/>
  <c r="E18" i="8"/>
  <c r="J18" i="8" s="1"/>
  <c r="E17" i="9"/>
  <c r="J17" i="9" s="1"/>
  <c r="E16" i="10"/>
  <c r="J16" i="10" s="1"/>
  <c r="E15" i="11"/>
  <c r="E14" i="12"/>
  <c r="D28" i="12"/>
  <c r="E25" i="13"/>
  <c r="K25" i="13" s="1"/>
  <c r="E24" i="14"/>
  <c r="K24" i="14" s="1"/>
  <c r="E23" i="15"/>
  <c r="J23" i="15" s="1"/>
  <c r="E16" i="2"/>
  <c r="K16" i="2" s="1"/>
  <c r="E22" i="10"/>
  <c r="J22" i="10" s="1"/>
  <c r="E17" i="15"/>
  <c r="E21" i="12"/>
  <c r="J21" i="12" s="1"/>
  <c r="E18" i="1"/>
  <c r="E66" i="1"/>
  <c r="E23" i="2"/>
  <c r="K23" i="2" s="1"/>
  <c r="E22" i="5"/>
  <c r="J22" i="5" s="1"/>
  <c r="E21" i="6"/>
  <c r="I21" i="6" s="1"/>
  <c r="E20" i="7"/>
  <c r="J20" i="7" s="1"/>
  <c r="E19" i="8"/>
  <c r="K19" i="8" s="1"/>
  <c r="E18" i="9"/>
  <c r="J18" i="9" s="1"/>
  <c r="E17" i="10"/>
  <c r="J17" i="10" s="1"/>
  <c r="E16" i="11"/>
  <c r="K16" i="11" s="1"/>
  <c r="E15" i="12"/>
  <c r="E14" i="13"/>
  <c r="D28" i="13"/>
  <c r="E25" i="14"/>
  <c r="J25" i="14" s="1"/>
  <c r="E24" i="15"/>
  <c r="J24" i="15" s="1"/>
  <c r="E24" i="6"/>
  <c r="E15" i="5"/>
  <c r="E21" i="11"/>
  <c r="J21" i="11" s="1"/>
  <c r="E16" i="5"/>
  <c r="E22" i="11"/>
  <c r="J22" i="11" s="1"/>
  <c r="E19" i="1"/>
  <c r="E67" i="1"/>
  <c r="E24" i="2"/>
  <c r="E23" i="5"/>
  <c r="J23" i="5" s="1"/>
  <c r="E22" i="6"/>
  <c r="I22" i="6" s="1"/>
  <c r="E21" i="7"/>
  <c r="J21" i="7" s="1"/>
  <c r="E20" i="8"/>
  <c r="J20" i="8" s="1"/>
  <c r="E19" i="9"/>
  <c r="J19" i="9" s="1"/>
  <c r="E18" i="10"/>
  <c r="J18" i="10" s="1"/>
  <c r="E17" i="11"/>
  <c r="J17" i="11" s="1"/>
  <c r="E16" i="12"/>
  <c r="E15" i="13"/>
  <c r="E14" i="14"/>
  <c r="D28" i="14"/>
  <c r="E25" i="15"/>
  <c r="E23" i="7"/>
  <c r="K23" i="7" s="1"/>
  <c r="E23" i="1"/>
  <c r="E24" i="8"/>
  <c r="K24" i="8" s="1"/>
  <c r="E18" i="14"/>
  <c r="K18" i="14" s="1"/>
  <c r="E15" i="6"/>
  <c r="E23" i="10"/>
  <c r="J23" i="10" s="1"/>
  <c r="E20" i="1"/>
  <c r="E68" i="1"/>
  <c r="E25" i="2"/>
  <c r="J25" i="2" s="1"/>
  <c r="E24" i="5"/>
  <c r="E23" i="6"/>
  <c r="I23" i="6" s="1"/>
  <c r="E22" i="7"/>
  <c r="J22" i="7" s="1"/>
  <c r="E21" i="8"/>
  <c r="K21" i="8" s="1"/>
  <c r="E20" i="9"/>
  <c r="J20" i="9" s="1"/>
  <c r="E19" i="10"/>
  <c r="J19" i="10" s="1"/>
  <c r="E18" i="11"/>
  <c r="K18" i="11" s="1"/>
  <c r="E17" i="12"/>
  <c r="J17" i="12" s="1"/>
  <c r="E16" i="13"/>
  <c r="J16" i="13" s="1"/>
  <c r="E15" i="14"/>
  <c r="E14" i="15"/>
  <c r="C28" i="2"/>
  <c r="B28" i="2"/>
  <c r="C28" i="1"/>
  <c r="B28" i="1"/>
  <c r="J25" i="5" l="1"/>
  <c r="K21" i="1"/>
  <c r="K22" i="2"/>
  <c r="J23" i="11"/>
  <c r="J19" i="2"/>
  <c r="K24" i="13"/>
  <c r="K17" i="2"/>
  <c r="K20" i="2"/>
  <c r="J23" i="2"/>
  <c r="J19" i="12"/>
  <c r="J21" i="2"/>
  <c r="K21" i="2"/>
  <c r="J23" i="1"/>
  <c r="K23" i="1"/>
  <c r="J19" i="1"/>
  <c r="K19" i="1"/>
  <c r="J25" i="12"/>
  <c r="K25" i="2"/>
  <c r="J19" i="7"/>
  <c r="K16" i="13"/>
  <c r="J22" i="1"/>
  <c r="K22" i="1"/>
  <c r="K20" i="15"/>
  <c r="K25" i="8"/>
  <c r="K23" i="12"/>
  <c r="J18" i="1"/>
  <c r="K18" i="1"/>
  <c r="K25" i="1"/>
  <c r="J25" i="1"/>
  <c r="J17" i="7"/>
  <c r="J22" i="14"/>
  <c r="J19" i="15"/>
  <c r="J24" i="1"/>
  <c r="K24" i="1"/>
  <c r="K16" i="7"/>
  <c r="K18" i="15"/>
  <c r="K18" i="2"/>
  <c r="J23" i="8"/>
  <c r="K17" i="1"/>
  <c r="J17" i="1"/>
  <c r="J23" i="7"/>
  <c r="J16" i="2"/>
  <c r="K23" i="15"/>
  <c r="J20" i="1"/>
  <c r="K20" i="1"/>
  <c r="K20" i="11"/>
  <c r="J16" i="1"/>
  <c r="K16" i="1"/>
  <c r="J24" i="2"/>
  <c r="K24" i="2"/>
  <c r="K22" i="11"/>
  <c r="K52" i="15"/>
  <c r="K59" i="15" s="1"/>
  <c r="K16" i="15"/>
  <c r="K22" i="15"/>
  <c r="K25" i="15"/>
  <c r="J25" i="15"/>
  <c r="K21" i="15"/>
  <c r="J21" i="15"/>
  <c r="K17" i="15"/>
  <c r="J17" i="15"/>
  <c r="J52" i="15"/>
  <c r="J59" i="15" s="1"/>
  <c r="K24" i="15"/>
  <c r="K52" i="14"/>
  <c r="K59" i="14" s="1"/>
  <c r="J21" i="14"/>
  <c r="J17" i="14"/>
  <c r="K25" i="14"/>
  <c r="J24" i="14"/>
  <c r="K20" i="14"/>
  <c r="J16" i="14"/>
  <c r="K23" i="14"/>
  <c r="J52" i="14"/>
  <c r="J59" i="14" s="1"/>
  <c r="J19" i="14"/>
  <c r="J18" i="14"/>
  <c r="K52" i="13"/>
  <c r="K59" i="13" s="1"/>
  <c r="J23" i="13"/>
  <c r="K22" i="13"/>
  <c r="K21" i="13"/>
  <c r="K19" i="13"/>
  <c r="J19" i="13"/>
  <c r="K20" i="13"/>
  <c r="J17" i="13"/>
  <c r="K18" i="13"/>
  <c r="J25" i="13"/>
  <c r="K22" i="12"/>
  <c r="K21" i="12"/>
  <c r="K17" i="12"/>
  <c r="K20" i="12"/>
  <c r="J20" i="12"/>
  <c r="K24" i="12"/>
  <c r="J52" i="12"/>
  <c r="J59" i="12" s="1"/>
  <c r="K16" i="12"/>
  <c r="J16" i="12"/>
  <c r="K18" i="12"/>
  <c r="K52" i="11"/>
  <c r="K59" i="11" s="1"/>
  <c r="J18" i="11"/>
  <c r="K19" i="11"/>
  <c r="J19" i="11"/>
  <c r="K25" i="11"/>
  <c r="K21" i="11"/>
  <c r="K17" i="11"/>
  <c r="J24" i="11"/>
  <c r="J16" i="11"/>
  <c r="K19" i="10"/>
  <c r="K22" i="10"/>
  <c r="K17" i="10"/>
  <c r="K16" i="10"/>
  <c r="K20" i="10"/>
  <c r="J26" i="10"/>
  <c r="K24" i="10"/>
  <c r="K21" i="10"/>
  <c r="K23" i="10"/>
  <c r="J52" i="10"/>
  <c r="J59" i="10" s="1"/>
  <c r="K25" i="10"/>
  <c r="K52" i="10"/>
  <c r="K59" i="10" s="1"/>
  <c r="K18" i="10"/>
  <c r="K22" i="9"/>
  <c r="K25" i="9"/>
  <c r="K17" i="9"/>
  <c r="K21" i="9"/>
  <c r="K24" i="9"/>
  <c r="K19" i="9"/>
  <c r="K16" i="9"/>
  <c r="K20" i="9"/>
  <c r="J52" i="9"/>
  <c r="J59" i="9" s="1"/>
  <c r="J23" i="9"/>
  <c r="J26" i="9" s="1"/>
  <c r="K18" i="9"/>
  <c r="K52" i="9"/>
  <c r="K59" i="9" s="1"/>
  <c r="K52" i="8"/>
  <c r="K59" i="8" s="1"/>
  <c r="J21" i="8"/>
  <c r="J17" i="8"/>
  <c r="K16" i="8"/>
  <c r="J24" i="8"/>
  <c r="K20" i="8"/>
  <c r="J22" i="8"/>
  <c r="J52" i="8"/>
  <c r="J59" i="8" s="1"/>
  <c r="K18" i="8"/>
  <c r="J19" i="8"/>
  <c r="K52" i="7"/>
  <c r="K59" i="7" s="1"/>
  <c r="J52" i="7"/>
  <c r="J59" i="7" s="1"/>
  <c r="K22" i="7"/>
  <c r="K20" i="7"/>
  <c r="K21" i="7"/>
  <c r="K24" i="7"/>
  <c r="J25" i="7"/>
  <c r="J26" i="7" s="1"/>
  <c r="K18" i="7"/>
  <c r="J52" i="6"/>
  <c r="J59" i="6" s="1"/>
  <c r="I52" i="6"/>
  <c r="I59" i="6" s="1"/>
  <c r="J52" i="5"/>
  <c r="J59" i="5" s="1"/>
  <c r="J20" i="6"/>
  <c r="I20" i="6"/>
  <c r="J23" i="6"/>
  <c r="J22" i="6"/>
  <c r="J24" i="6"/>
  <c r="I24" i="6"/>
  <c r="J21" i="6"/>
  <c r="I19" i="6"/>
  <c r="J16" i="6"/>
  <c r="I16" i="6"/>
  <c r="I17" i="6"/>
  <c r="I25" i="6"/>
  <c r="J18" i="6"/>
  <c r="J16" i="5"/>
  <c r="I16" i="5"/>
  <c r="I22" i="5"/>
  <c r="I23" i="5"/>
  <c r="J21" i="5"/>
  <c r="I52" i="5"/>
  <c r="I59" i="5" s="1"/>
  <c r="J24" i="5"/>
  <c r="I24" i="5"/>
  <c r="I17" i="5"/>
  <c r="I19" i="5"/>
  <c r="J20" i="5"/>
  <c r="J18" i="5"/>
  <c r="K27" i="2"/>
  <c r="J27" i="2"/>
  <c r="K52" i="2"/>
  <c r="K59" i="2" s="1"/>
  <c r="L25" i="1"/>
  <c r="F25" i="1"/>
  <c r="I25" i="1"/>
  <c r="G25" i="1"/>
  <c r="M25" i="1"/>
  <c r="H25" i="1"/>
  <c r="I24" i="1"/>
  <c r="M24" i="1"/>
  <c r="L24" i="1"/>
  <c r="G24" i="1"/>
  <c r="F24" i="1"/>
  <c r="H24" i="1"/>
  <c r="Q74" i="1"/>
  <c r="Q73" i="1"/>
  <c r="K26" i="2" l="1"/>
  <c r="K28" i="2" s="1"/>
  <c r="K30" i="2" s="1"/>
  <c r="J26" i="15"/>
  <c r="J28" i="15" s="1"/>
  <c r="J30" i="15" s="1"/>
  <c r="K26" i="11"/>
  <c r="K28" i="11" s="1"/>
  <c r="K30" i="11" s="1"/>
  <c r="K26" i="7"/>
  <c r="K28" i="7" s="1"/>
  <c r="K30" i="7" s="1"/>
  <c r="J26" i="13"/>
  <c r="J28" i="13" s="1"/>
  <c r="J30" i="13" s="1"/>
  <c r="K26" i="1"/>
  <c r="K28" i="1" s="1"/>
  <c r="K30" i="1" s="1"/>
  <c r="J26" i="1"/>
  <c r="J28" i="1" s="1"/>
  <c r="J30" i="1" s="1"/>
  <c r="J26" i="12"/>
  <c r="J28" i="12" s="1"/>
  <c r="J30" i="12" s="1"/>
  <c r="J26" i="2"/>
  <c r="J28" i="2" s="1"/>
  <c r="J30" i="2" s="1"/>
  <c r="J57" i="2" s="1"/>
  <c r="J26" i="11"/>
  <c r="J28" i="11" s="1"/>
  <c r="J30" i="11" s="1"/>
  <c r="K26" i="14"/>
  <c r="K28" i="14" s="1"/>
  <c r="K30" i="14" s="1"/>
  <c r="K26" i="15"/>
  <c r="K28" i="15" s="1"/>
  <c r="K30" i="15" s="1"/>
  <c r="J26" i="14"/>
  <c r="K26" i="13"/>
  <c r="K28" i="13" s="1"/>
  <c r="K30" i="13" s="1"/>
  <c r="K26" i="12"/>
  <c r="J28" i="10"/>
  <c r="J30" i="10" s="1"/>
  <c r="K26" i="10"/>
  <c r="J28" i="9"/>
  <c r="J30" i="9" s="1"/>
  <c r="K26" i="9"/>
  <c r="J26" i="8"/>
  <c r="J28" i="8" s="1"/>
  <c r="J30" i="8" s="1"/>
  <c r="K26" i="8"/>
  <c r="J28" i="7"/>
  <c r="J30" i="7" s="1"/>
  <c r="I26" i="6"/>
  <c r="I28" i="6" s="1"/>
  <c r="I30" i="6" s="1"/>
  <c r="J26" i="5"/>
  <c r="J28" i="5" s="1"/>
  <c r="J30" i="5" s="1"/>
  <c r="J26" i="6"/>
  <c r="I26" i="5"/>
  <c r="K57" i="2"/>
  <c r="G13" i="15"/>
  <c r="H13" i="15"/>
  <c r="I13" i="15"/>
  <c r="F13" i="15"/>
  <c r="G13" i="14"/>
  <c r="H13" i="14"/>
  <c r="I13" i="14"/>
  <c r="F13" i="14"/>
  <c r="G13" i="13"/>
  <c r="H13" i="13"/>
  <c r="I13" i="13"/>
  <c r="F13" i="13"/>
  <c r="G13" i="12"/>
  <c r="H13" i="12"/>
  <c r="I13" i="12"/>
  <c r="F13" i="12"/>
  <c r="G13" i="11"/>
  <c r="H13" i="11"/>
  <c r="I13" i="11"/>
  <c r="L27" i="11"/>
  <c r="M27" i="11"/>
  <c r="F13" i="11"/>
  <c r="G13" i="10"/>
  <c r="H13" i="10"/>
  <c r="F13" i="10"/>
  <c r="G13" i="9"/>
  <c r="H13" i="9"/>
  <c r="F13" i="9"/>
  <c r="G13" i="8"/>
  <c r="F13" i="8"/>
  <c r="G13" i="7"/>
  <c r="H13" i="7"/>
  <c r="I13" i="7"/>
  <c r="F13" i="7"/>
  <c r="G13" i="6"/>
  <c r="F13" i="6"/>
  <c r="G13" i="5"/>
  <c r="F13" i="5"/>
  <c r="G13" i="2"/>
  <c r="F13" i="2"/>
  <c r="J62" i="1" l="1"/>
  <c r="K62" i="1"/>
  <c r="K66" i="1" s="1"/>
  <c r="J57" i="15"/>
  <c r="K57" i="15"/>
  <c r="K57" i="14"/>
  <c r="J28" i="14"/>
  <c r="J30" i="14" s="1"/>
  <c r="K57" i="13"/>
  <c r="J57" i="13"/>
  <c r="J57" i="12"/>
  <c r="K28" i="12"/>
  <c r="K30" i="12" s="1"/>
  <c r="J57" i="11"/>
  <c r="K57" i="11"/>
  <c r="J57" i="10"/>
  <c r="K28" i="10"/>
  <c r="K30" i="10" s="1"/>
  <c r="J57" i="9"/>
  <c r="K28" i="9"/>
  <c r="K30" i="9" s="1"/>
  <c r="J57" i="8"/>
  <c r="K28" i="8"/>
  <c r="K30" i="8" s="1"/>
  <c r="K57" i="7"/>
  <c r="J57" i="7"/>
  <c r="I57" i="6"/>
  <c r="J28" i="6"/>
  <c r="J30" i="6" s="1"/>
  <c r="J57" i="5"/>
  <c r="I28" i="5"/>
  <c r="I30" i="5" s="1"/>
  <c r="F23" i="2"/>
  <c r="F22" i="2"/>
  <c r="L23" i="5"/>
  <c r="L22" i="5"/>
  <c r="H22" i="6"/>
  <c r="H23" i="6"/>
  <c r="F23" i="8"/>
  <c r="F22" i="8"/>
  <c r="L23" i="9"/>
  <c r="L22" i="9"/>
  <c r="H22" i="10"/>
  <c r="H23" i="10"/>
  <c r="F23" i="12"/>
  <c r="F22" i="12"/>
  <c r="H23" i="12"/>
  <c r="H22" i="12"/>
  <c r="L22" i="13"/>
  <c r="L23" i="13"/>
  <c r="F23" i="14"/>
  <c r="F22" i="14"/>
  <c r="H22" i="14"/>
  <c r="H23" i="14"/>
  <c r="L23" i="15"/>
  <c r="L22" i="15"/>
  <c r="M23" i="2"/>
  <c r="M22" i="2"/>
  <c r="G22" i="2"/>
  <c r="G23" i="2"/>
  <c r="K23" i="5"/>
  <c r="K22" i="5"/>
  <c r="M22" i="6"/>
  <c r="M23" i="6"/>
  <c r="G22" i="6"/>
  <c r="G23" i="6"/>
  <c r="I22" i="7"/>
  <c r="I23" i="7"/>
  <c r="M23" i="8"/>
  <c r="M22" i="8"/>
  <c r="G23" i="8"/>
  <c r="G22" i="8"/>
  <c r="I23" i="9"/>
  <c r="I22" i="9"/>
  <c r="M22" i="10"/>
  <c r="M23" i="10"/>
  <c r="G22" i="10"/>
  <c r="G23" i="10"/>
  <c r="I22" i="11"/>
  <c r="I23" i="11"/>
  <c r="M22" i="12"/>
  <c r="M23" i="12"/>
  <c r="G23" i="12"/>
  <c r="G22" i="12"/>
  <c r="I22" i="13"/>
  <c r="I23" i="13"/>
  <c r="M22" i="14"/>
  <c r="M23" i="14"/>
  <c r="G22" i="14"/>
  <c r="G23" i="14"/>
  <c r="I23" i="15"/>
  <c r="I22" i="15"/>
  <c r="F23" i="5"/>
  <c r="F22" i="5"/>
  <c r="L22" i="6"/>
  <c r="L23" i="6"/>
  <c r="H22" i="7"/>
  <c r="H23" i="7"/>
  <c r="L23" i="8"/>
  <c r="L22" i="8"/>
  <c r="F22" i="9"/>
  <c r="F23" i="9"/>
  <c r="H23" i="9"/>
  <c r="H22" i="9"/>
  <c r="L22" i="10"/>
  <c r="L23" i="10"/>
  <c r="F23" i="11"/>
  <c r="F22" i="11"/>
  <c r="H23" i="11"/>
  <c r="H22" i="11"/>
  <c r="L22" i="12"/>
  <c r="L23" i="12"/>
  <c r="F23" i="13"/>
  <c r="F22" i="13"/>
  <c r="H22" i="13"/>
  <c r="H23" i="13"/>
  <c r="L22" i="14"/>
  <c r="L23" i="14"/>
  <c r="F23" i="15"/>
  <c r="F22" i="15"/>
  <c r="H23" i="15"/>
  <c r="H22" i="15"/>
  <c r="H22" i="2"/>
  <c r="H23" i="2"/>
  <c r="F22" i="6"/>
  <c r="F23" i="6"/>
  <c r="L23" i="7"/>
  <c r="L22" i="7"/>
  <c r="H22" i="8"/>
  <c r="H23" i="8"/>
  <c r="F23" i="10"/>
  <c r="F22" i="10"/>
  <c r="L23" i="11"/>
  <c r="L22" i="11"/>
  <c r="L22" i="2"/>
  <c r="L23" i="2"/>
  <c r="H22" i="5"/>
  <c r="H23" i="5"/>
  <c r="F23" i="7"/>
  <c r="F22" i="7"/>
  <c r="I22" i="2"/>
  <c r="I23" i="2"/>
  <c r="M23" i="5"/>
  <c r="M22" i="5"/>
  <c r="G22" i="5"/>
  <c r="G23" i="5"/>
  <c r="K22" i="6"/>
  <c r="K23" i="6"/>
  <c r="M22" i="7"/>
  <c r="M23" i="7"/>
  <c r="G22" i="7"/>
  <c r="G23" i="7"/>
  <c r="I22" i="8"/>
  <c r="I23" i="8"/>
  <c r="M23" i="9"/>
  <c r="M22" i="9"/>
  <c r="G23" i="9"/>
  <c r="G22" i="9"/>
  <c r="I22" i="10"/>
  <c r="I23" i="10"/>
  <c r="M22" i="11"/>
  <c r="M23" i="11"/>
  <c r="G22" i="11"/>
  <c r="G23" i="11"/>
  <c r="I22" i="12"/>
  <c r="I23" i="12"/>
  <c r="M23" i="13"/>
  <c r="M22" i="13"/>
  <c r="G23" i="13"/>
  <c r="G22" i="13"/>
  <c r="I22" i="14"/>
  <c r="I23" i="14"/>
  <c r="M22" i="15"/>
  <c r="M23" i="15"/>
  <c r="G22" i="15"/>
  <c r="G23" i="15"/>
  <c r="D63" i="15"/>
  <c r="N52" i="15"/>
  <c r="N59" i="15" s="1"/>
  <c r="N51" i="15"/>
  <c r="N58" i="15" s="1"/>
  <c r="M50" i="15"/>
  <c r="L50" i="15"/>
  <c r="I50" i="15"/>
  <c r="H50" i="15"/>
  <c r="G50" i="15"/>
  <c r="F50" i="15"/>
  <c r="M49" i="15"/>
  <c r="L49" i="15"/>
  <c r="I49" i="15"/>
  <c r="H49" i="15"/>
  <c r="G49" i="15"/>
  <c r="F49" i="15"/>
  <c r="M48" i="15"/>
  <c r="L48" i="15"/>
  <c r="I48" i="15"/>
  <c r="H48" i="15"/>
  <c r="G48" i="15"/>
  <c r="F48" i="15"/>
  <c r="M47" i="15"/>
  <c r="L47" i="15"/>
  <c r="I47" i="15"/>
  <c r="H47" i="15"/>
  <c r="G47" i="15"/>
  <c r="F47" i="15"/>
  <c r="M46" i="15"/>
  <c r="L46" i="15"/>
  <c r="I46" i="15"/>
  <c r="H46" i="15"/>
  <c r="G46" i="15"/>
  <c r="F46" i="15"/>
  <c r="E44" i="15"/>
  <c r="E43" i="15"/>
  <c r="E42" i="15"/>
  <c r="H42" i="15" s="1"/>
  <c r="S41" i="15"/>
  <c r="E41" i="15"/>
  <c r="S40" i="15"/>
  <c r="E40" i="15"/>
  <c r="S39" i="15"/>
  <c r="M39" i="15"/>
  <c r="H39" i="15"/>
  <c r="G39" i="15"/>
  <c r="E39" i="15"/>
  <c r="S38" i="15"/>
  <c r="E38" i="15"/>
  <c r="S37" i="15"/>
  <c r="E37" i="15"/>
  <c r="S36" i="15"/>
  <c r="E36" i="15"/>
  <c r="E35" i="15"/>
  <c r="E34" i="15"/>
  <c r="E33" i="15"/>
  <c r="M32" i="15"/>
  <c r="L32" i="15"/>
  <c r="I32" i="15"/>
  <c r="H32" i="15"/>
  <c r="G32" i="15"/>
  <c r="F32" i="15"/>
  <c r="I25" i="15"/>
  <c r="I24" i="15"/>
  <c r="M21" i="15"/>
  <c r="L20" i="15"/>
  <c r="I19" i="15"/>
  <c r="I18" i="15"/>
  <c r="M17" i="15"/>
  <c r="L16" i="15"/>
  <c r="N15" i="15"/>
  <c r="N14" i="15"/>
  <c r="D63" i="14"/>
  <c r="A117" i="1" s="1"/>
  <c r="N52" i="14"/>
  <c r="N59" i="14" s="1"/>
  <c r="N51" i="14"/>
  <c r="N58" i="14" s="1"/>
  <c r="M50" i="14"/>
  <c r="L50" i="14"/>
  <c r="I50" i="14"/>
  <c r="H50" i="14"/>
  <c r="G50" i="14"/>
  <c r="F50" i="14"/>
  <c r="M49" i="14"/>
  <c r="L49" i="14"/>
  <c r="I49" i="14"/>
  <c r="H49" i="14"/>
  <c r="G49" i="14"/>
  <c r="F49" i="14"/>
  <c r="M48" i="14"/>
  <c r="L48" i="14"/>
  <c r="I48" i="14"/>
  <c r="H48" i="14"/>
  <c r="G48" i="14"/>
  <c r="F48" i="14"/>
  <c r="M47" i="14"/>
  <c r="L47" i="14"/>
  <c r="I47" i="14"/>
  <c r="H47" i="14"/>
  <c r="G47" i="14"/>
  <c r="F47" i="14"/>
  <c r="M46" i="14"/>
  <c r="L46" i="14"/>
  <c r="I46" i="14"/>
  <c r="H46" i="14"/>
  <c r="G46" i="14"/>
  <c r="F46" i="14"/>
  <c r="E44" i="14"/>
  <c r="E43" i="14"/>
  <c r="E42" i="14"/>
  <c r="S41" i="14"/>
  <c r="E41" i="14"/>
  <c r="S40" i="14"/>
  <c r="E40" i="14"/>
  <c r="S39" i="14"/>
  <c r="E39" i="14"/>
  <c r="S38" i="14"/>
  <c r="E38" i="14"/>
  <c r="S37" i="14"/>
  <c r="E37" i="14"/>
  <c r="S36" i="14"/>
  <c r="L36" i="14"/>
  <c r="E36" i="14"/>
  <c r="E35" i="14"/>
  <c r="E34" i="14"/>
  <c r="E33" i="14"/>
  <c r="M32" i="14"/>
  <c r="L32" i="14"/>
  <c r="I32" i="14"/>
  <c r="H32" i="14"/>
  <c r="G32" i="14"/>
  <c r="F32" i="14"/>
  <c r="I25" i="14"/>
  <c r="G24" i="14"/>
  <c r="I24" i="14"/>
  <c r="M21" i="14"/>
  <c r="L20" i="14"/>
  <c r="I19" i="14"/>
  <c r="I18" i="14"/>
  <c r="M17" i="14"/>
  <c r="L16" i="14"/>
  <c r="N15" i="14"/>
  <c r="N14" i="14"/>
  <c r="D63" i="13"/>
  <c r="N52" i="13"/>
  <c r="N59" i="13" s="1"/>
  <c r="N51" i="13"/>
  <c r="N58" i="13" s="1"/>
  <c r="M50" i="13"/>
  <c r="L50" i="13"/>
  <c r="I50" i="13"/>
  <c r="H50" i="13"/>
  <c r="G50" i="13"/>
  <c r="F50" i="13"/>
  <c r="M49" i="13"/>
  <c r="L49" i="13"/>
  <c r="I49" i="13"/>
  <c r="H49" i="13"/>
  <c r="G49" i="13"/>
  <c r="F49" i="13"/>
  <c r="M48" i="13"/>
  <c r="L48" i="13"/>
  <c r="I48" i="13"/>
  <c r="H48" i="13"/>
  <c r="G48" i="13"/>
  <c r="F48" i="13"/>
  <c r="M47" i="13"/>
  <c r="L47" i="13"/>
  <c r="I47" i="13"/>
  <c r="H47" i="13"/>
  <c r="G47" i="13"/>
  <c r="F47" i="13"/>
  <c r="M46" i="13"/>
  <c r="L46" i="13"/>
  <c r="I46" i="13"/>
  <c r="H46" i="13"/>
  <c r="G46" i="13"/>
  <c r="F46" i="13"/>
  <c r="E44" i="13"/>
  <c r="E43" i="13"/>
  <c r="E42" i="13"/>
  <c r="S41" i="13"/>
  <c r="E41" i="13"/>
  <c r="S40" i="13"/>
  <c r="E40" i="13"/>
  <c r="S39" i="13"/>
  <c r="E39" i="13"/>
  <c r="S38" i="13"/>
  <c r="E38" i="13"/>
  <c r="S37" i="13"/>
  <c r="E37" i="13"/>
  <c r="S36" i="13"/>
  <c r="E36" i="13"/>
  <c r="E35" i="13"/>
  <c r="E34" i="13"/>
  <c r="E33" i="13"/>
  <c r="M32" i="13"/>
  <c r="L32" i="13"/>
  <c r="I32" i="13"/>
  <c r="H32" i="13"/>
  <c r="G32" i="13"/>
  <c r="F32" i="13"/>
  <c r="I25" i="13"/>
  <c r="I24" i="13"/>
  <c r="M21" i="13"/>
  <c r="L20" i="13"/>
  <c r="I19" i="13"/>
  <c r="I18" i="13"/>
  <c r="M17" i="13"/>
  <c r="L16" i="13"/>
  <c r="N15" i="13"/>
  <c r="N14" i="13"/>
  <c r="D63" i="12"/>
  <c r="N52" i="12"/>
  <c r="N59" i="12" s="1"/>
  <c r="N51" i="12"/>
  <c r="N58" i="12" s="1"/>
  <c r="M50" i="12"/>
  <c r="L50" i="12"/>
  <c r="I50" i="12"/>
  <c r="H50" i="12"/>
  <c r="G50" i="12"/>
  <c r="F50" i="12"/>
  <c r="M49" i="12"/>
  <c r="L49" i="12"/>
  <c r="I49" i="12"/>
  <c r="H49" i="12"/>
  <c r="G49" i="12"/>
  <c r="F49" i="12"/>
  <c r="M48" i="12"/>
  <c r="L48" i="12"/>
  <c r="I48" i="12"/>
  <c r="H48" i="12"/>
  <c r="G48" i="12"/>
  <c r="F48" i="12"/>
  <c r="M47" i="12"/>
  <c r="L47" i="12"/>
  <c r="I47" i="12"/>
  <c r="H47" i="12"/>
  <c r="G47" i="12"/>
  <c r="F47" i="12"/>
  <c r="M46" i="12"/>
  <c r="L46" i="12"/>
  <c r="I46" i="12"/>
  <c r="H46" i="12"/>
  <c r="G46" i="12"/>
  <c r="F46" i="12"/>
  <c r="E44" i="12"/>
  <c r="E43" i="12"/>
  <c r="E42" i="12"/>
  <c r="S41" i="12"/>
  <c r="E41" i="12"/>
  <c r="S40" i="12"/>
  <c r="E40" i="12"/>
  <c r="S39" i="12"/>
  <c r="E39" i="12"/>
  <c r="S38" i="12"/>
  <c r="E38" i="12"/>
  <c r="S37" i="12"/>
  <c r="E37" i="12"/>
  <c r="S36" i="12"/>
  <c r="E36" i="12"/>
  <c r="E35" i="12"/>
  <c r="E34" i="12"/>
  <c r="E33" i="12"/>
  <c r="M32" i="12"/>
  <c r="L32" i="12"/>
  <c r="I32" i="12"/>
  <c r="H32" i="12"/>
  <c r="G32" i="12"/>
  <c r="F32" i="12"/>
  <c r="M27" i="12"/>
  <c r="I25" i="12"/>
  <c r="H24" i="12"/>
  <c r="I21" i="12"/>
  <c r="L20" i="12"/>
  <c r="I19" i="12"/>
  <c r="H18" i="12"/>
  <c r="I17" i="12"/>
  <c r="L16" i="12"/>
  <c r="N15" i="12"/>
  <c r="N14" i="12"/>
  <c r="K72" i="1" l="1"/>
  <c r="J66" i="1"/>
  <c r="J72" i="1" s="1"/>
  <c r="I33" i="15"/>
  <c r="K33" i="15"/>
  <c r="J33" i="15"/>
  <c r="M35" i="15"/>
  <c r="K35" i="15"/>
  <c r="J35" i="15"/>
  <c r="M43" i="15"/>
  <c r="K43" i="15"/>
  <c r="J43" i="15"/>
  <c r="I36" i="15"/>
  <c r="K36" i="15"/>
  <c r="J36" i="15"/>
  <c r="M37" i="15"/>
  <c r="K37" i="15"/>
  <c r="J37" i="15"/>
  <c r="I44" i="15"/>
  <c r="K44" i="15"/>
  <c r="J44" i="15"/>
  <c r="M41" i="15"/>
  <c r="K41" i="15"/>
  <c r="J41" i="15"/>
  <c r="L38" i="15"/>
  <c r="K38" i="15"/>
  <c r="J38" i="15"/>
  <c r="L42" i="15"/>
  <c r="K42" i="15"/>
  <c r="J42" i="15"/>
  <c r="I39" i="15"/>
  <c r="K39" i="15"/>
  <c r="J39" i="15"/>
  <c r="L34" i="15"/>
  <c r="K34" i="15"/>
  <c r="J34" i="15"/>
  <c r="I40" i="15"/>
  <c r="K40" i="15"/>
  <c r="J40" i="15"/>
  <c r="I44" i="14"/>
  <c r="K44" i="14"/>
  <c r="J44" i="14"/>
  <c r="H44" i="14"/>
  <c r="M37" i="14"/>
  <c r="K37" i="14"/>
  <c r="J37" i="14"/>
  <c r="L38" i="14"/>
  <c r="K38" i="14"/>
  <c r="J38" i="14"/>
  <c r="I39" i="14"/>
  <c r="K39" i="14"/>
  <c r="J39" i="14"/>
  <c r="M41" i="14"/>
  <c r="K41" i="14"/>
  <c r="J41" i="14"/>
  <c r="I33" i="14"/>
  <c r="K33" i="14"/>
  <c r="J33" i="14"/>
  <c r="L42" i="14"/>
  <c r="J42" i="14"/>
  <c r="K42" i="14"/>
  <c r="I40" i="14"/>
  <c r="K40" i="14"/>
  <c r="J40" i="14"/>
  <c r="L34" i="14"/>
  <c r="J34" i="14"/>
  <c r="K34" i="14"/>
  <c r="M43" i="14"/>
  <c r="K43" i="14"/>
  <c r="J43" i="14"/>
  <c r="J57" i="14"/>
  <c r="M35" i="14"/>
  <c r="J35" i="14"/>
  <c r="K35" i="14"/>
  <c r="I36" i="14"/>
  <c r="K36" i="14"/>
  <c r="J36" i="14"/>
  <c r="F44" i="14"/>
  <c r="L38" i="13"/>
  <c r="K38" i="13"/>
  <c r="J38" i="13"/>
  <c r="I40" i="13"/>
  <c r="K40" i="13"/>
  <c r="J40" i="13"/>
  <c r="M41" i="13"/>
  <c r="K41" i="13"/>
  <c r="J41" i="13"/>
  <c r="L42" i="13"/>
  <c r="K42" i="13"/>
  <c r="J42" i="13"/>
  <c r="M43" i="13"/>
  <c r="J43" i="13"/>
  <c r="K43" i="13"/>
  <c r="M35" i="13"/>
  <c r="J35" i="13"/>
  <c r="K35" i="13"/>
  <c r="L34" i="13"/>
  <c r="K34" i="13"/>
  <c r="J34" i="13"/>
  <c r="I36" i="13"/>
  <c r="J36" i="13"/>
  <c r="K36" i="13"/>
  <c r="I39" i="13"/>
  <c r="K39" i="13"/>
  <c r="J39" i="13"/>
  <c r="M37" i="13"/>
  <c r="K37" i="13"/>
  <c r="J37" i="13"/>
  <c r="I33" i="13"/>
  <c r="K33" i="13"/>
  <c r="J33" i="13"/>
  <c r="I44" i="13"/>
  <c r="J44" i="13"/>
  <c r="K44" i="13"/>
  <c r="H40" i="12"/>
  <c r="K40" i="12"/>
  <c r="J40" i="12"/>
  <c r="I33" i="12"/>
  <c r="K33" i="12"/>
  <c r="J33" i="12"/>
  <c r="L42" i="12"/>
  <c r="K42" i="12"/>
  <c r="J42" i="12"/>
  <c r="M41" i="12"/>
  <c r="K41" i="12"/>
  <c r="J41" i="12"/>
  <c r="L34" i="12"/>
  <c r="K34" i="12"/>
  <c r="J34" i="12"/>
  <c r="M34" i="12"/>
  <c r="M43" i="12"/>
  <c r="K43" i="12"/>
  <c r="J43" i="12"/>
  <c r="F43" i="12"/>
  <c r="M35" i="12"/>
  <c r="K35" i="12"/>
  <c r="J35" i="12"/>
  <c r="H44" i="12"/>
  <c r="K44" i="12"/>
  <c r="J44" i="12"/>
  <c r="M37" i="12"/>
  <c r="K37" i="12"/>
  <c r="J37" i="12"/>
  <c r="H36" i="12"/>
  <c r="K36" i="12"/>
  <c r="J36" i="12"/>
  <c r="K57" i="12"/>
  <c r="L38" i="12"/>
  <c r="K38" i="12"/>
  <c r="J38" i="12"/>
  <c r="I39" i="12"/>
  <c r="K39" i="12"/>
  <c r="J39" i="12"/>
  <c r="K57" i="10"/>
  <c r="K57" i="9"/>
  <c r="K57" i="8"/>
  <c r="J57" i="6"/>
  <c r="I57" i="5"/>
  <c r="F52" i="12"/>
  <c r="F59" i="12" s="1"/>
  <c r="H34" i="14"/>
  <c r="H38" i="14"/>
  <c r="M44" i="14"/>
  <c r="M36" i="13"/>
  <c r="F18" i="15"/>
  <c r="M24" i="12"/>
  <c r="G42" i="12"/>
  <c r="M36" i="15"/>
  <c r="L35" i="12"/>
  <c r="F37" i="12"/>
  <c r="G24" i="13"/>
  <c r="G33" i="14"/>
  <c r="F40" i="14"/>
  <c r="G18" i="15"/>
  <c r="H20" i="15"/>
  <c r="H25" i="15"/>
  <c r="F36" i="15"/>
  <c r="G18" i="13"/>
  <c r="H17" i="12"/>
  <c r="F36" i="13"/>
  <c r="G39" i="13"/>
  <c r="G18" i="14"/>
  <c r="M33" i="14"/>
  <c r="H40" i="14"/>
  <c r="H18" i="15"/>
  <c r="G36" i="15"/>
  <c r="M40" i="14"/>
  <c r="H36" i="15"/>
  <c r="G24" i="12"/>
  <c r="G19" i="13"/>
  <c r="H16" i="14"/>
  <c r="F24" i="14"/>
  <c r="M25" i="14"/>
  <c r="M18" i="15"/>
  <c r="H21" i="12"/>
  <c r="H18" i="13"/>
  <c r="H20" i="13"/>
  <c r="M24" i="14"/>
  <c r="G19" i="15"/>
  <c r="M19" i="15"/>
  <c r="L44" i="13"/>
  <c r="N26" i="12"/>
  <c r="N30" i="12" s="1"/>
  <c r="F17" i="12"/>
  <c r="M17" i="12"/>
  <c r="H19" i="12"/>
  <c r="F21" i="12"/>
  <c r="M21" i="12"/>
  <c r="F35" i="12"/>
  <c r="L37" i="12"/>
  <c r="M38" i="12"/>
  <c r="G39" i="12"/>
  <c r="H41" i="12"/>
  <c r="L43" i="12"/>
  <c r="F18" i="13"/>
  <c r="M18" i="13"/>
  <c r="M19" i="13"/>
  <c r="L24" i="13"/>
  <c r="H25" i="13"/>
  <c r="H33" i="13"/>
  <c r="H36" i="13"/>
  <c r="M39" i="13"/>
  <c r="G40" i="13"/>
  <c r="H42" i="13"/>
  <c r="G44" i="13"/>
  <c r="L18" i="14"/>
  <c r="H19" i="14"/>
  <c r="H24" i="14"/>
  <c r="G25" i="14"/>
  <c r="G36" i="14"/>
  <c r="H39" i="14"/>
  <c r="G24" i="15"/>
  <c r="L40" i="15"/>
  <c r="L44" i="15"/>
  <c r="L39" i="12"/>
  <c r="G17" i="12"/>
  <c r="L19" i="12"/>
  <c r="G21" i="12"/>
  <c r="H25" i="12"/>
  <c r="G34" i="12"/>
  <c r="H35" i="12"/>
  <c r="H39" i="12"/>
  <c r="L41" i="12"/>
  <c r="H16" i="13"/>
  <c r="F24" i="13"/>
  <c r="M24" i="13"/>
  <c r="M25" i="13"/>
  <c r="M33" i="13"/>
  <c r="L36" i="13"/>
  <c r="H40" i="13"/>
  <c r="H44" i="13"/>
  <c r="F18" i="14"/>
  <c r="M18" i="14"/>
  <c r="M19" i="14"/>
  <c r="L24" i="14"/>
  <c r="H25" i="14"/>
  <c r="H33" i="14"/>
  <c r="H36" i="14"/>
  <c r="M39" i="14"/>
  <c r="G40" i="14"/>
  <c r="H42" i="14"/>
  <c r="G44" i="14"/>
  <c r="L18" i="15"/>
  <c r="H19" i="15"/>
  <c r="H24" i="15"/>
  <c r="G25" i="15"/>
  <c r="G33" i="15"/>
  <c r="H34" i="15"/>
  <c r="H38" i="15"/>
  <c r="F40" i="15"/>
  <c r="M40" i="15"/>
  <c r="F44" i="15"/>
  <c r="M44" i="15"/>
  <c r="H33" i="15"/>
  <c r="G40" i="15"/>
  <c r="G44" i="15"/>
  <c r="L40" i="13"/>
  <c r="N26" i="14"/>
  <c r="N30" i="14" s="1"/>
  <c r="L24" i="15"/>
  <c r="L17" i="12"/>
  <c r="F19" i="12"/>
  <c r="L21" i="12"/>
  <c r="H37" i="12"/>
  <c r="G38" i="12"/>
  <c r="F39" i="12"/>
  <c r="F41" i="12"/>
  <c r="H43" i="12"/>
  <c r="L18" i="13"/>
  <c r="H19" i="13"/>
  <c r="H24" i="13"/>
  <c r="G25" i="13"/>
  <c r="G33" i="13"/>
  <c r="H34" i="13"/>
  <c r="G36" i="13"/>
  <c r="H38" i="13"/>
  <c r="H39" i="13"/>
  <c r="F40" i="13"/>
  <c r="M40" i="13"/>
  <c r="F44" i="13"/>
  <c r="M44" i="13"/>
  <c r="H18" i="14"/>
  <c r="G19" i="14"/>
  <c r="H20" i="14"/>
  <c r="F36" i="14"/>
  <c r="M36" i="14"/>
  <c r="G39" i="14"/>
  <c r="L40" i="14"/>
  <c r="L44" i="14"/>
  <c r="N26" i="15"/>
  <c r="N30" i="15" s="1"/>
  <c r="H16" i="15"/>
  <c r="F24" i="15"/>
  <c r="M24" i="15"/>
  <c r="M25" i="15"/>
  <c r="L27" i="15"/>
  <c r="M33" i="15"/>
  <c r="L36" i="15"/>
  <c r="H40" i="15"/>
  <c r="H44" i="15"/>
  <c r="A102" i="1"/>
  <c r="A103" i="1"/>
  <c r="A118" i="1"/>
  <c r="A101" i="1"/>
  <c r="A116" i="1"/>
  <c r="A100" i="1"/>
  <c r="A115" i="1"/>
  <c r="N26" i="13"/>
  <c r="N30" i="13" s="1"/>
  <c r="L27" i="13"/>
  <c r="L27" i="12"/>
  <c r="F52" i="14"/>
  <c r="F59" i="14" s="1"/>
  <c r="L52" i="14"/>
  <c r="L59" i="14" s="1"/>
  <c r="I52" i="15"/>
  <c r="I59" i="15" s="1"/>
  <c r="L52" i="12"/>
  <c r="L59" i="12" s="1"/>
  <c r="H52" i="13"/>
  <c r="H59" i="13" s="1"/>
  <c r="F52" i="15"/>
  <c r="F59" i="15" s="1"/>
  <c r="L52" i="15"/>
  <c r="L59" i="15" s="1"/>
  <c r="H52" i="12"/>
  <c r="H59" i="12" s="1"/>
  <c r="G52" i="12"/>
  <c r="G59" i="12" s="1"/>
  <c r="M52" i="12"/>
  <c r="M59" i="12" s="1"/>
  <c r="H52" i="15"/>
  <c r="H59" i="15" s="1"/>
  <c r="I52" i="14"/>
  <c r="I59" i="14" s="1"/>
  <c r="G52" i="14"/>
  <c r="G59" i="14" s="1"/>
  <c r="M52" i="14"/>
  <c r="M59" i="14" s="1"/>
  <c r="H52" i="14"/>
  <c r="H59" i="14" s="1"/>
  <c r="I52" i="12"/>
  <c r="I59" i="12" s="1"/>
  <c r="I27" i="12"/>
  <c r="H33" i="12"/>
  <c r="H27" i="13"/>
  <c r="F52" i="13"/>
  <c r="F59" i="13" s="1"/>
  <c r="L52" i="13"/>
  <c r="L59" i="13" s="1"/>
  <c r="I52" i="13"/>
  <c r="I59" i="13" s="1"/>
  <c r="G52" i="13"/>
  <c r="G59" i="13" s="1"/>
  <c r="M52" i="13"/>
  <c r="M59" i="13" s="1"/>
  <c r="F27" i="12"/>
  <c r="G27" i="12"/>
  <c r="H27" i="12"/>
  <c r="F33" i="12"/>
  <c r="G33" i="12"/>
  <c r="L33" i="12"/>
  <c r="M33" i="12"/>
  <c r="L27" i="14"/>
  <c r="H27" i="14"/>
  <c r="G52" i="15"/>
  <c r="G59" i="15" s="1"/>
  <c r="M52" i="15"/>
  <c r="M59" i="15" s="1"/>
  <c r="H27" i="15"/>
  <c r="G16" i="15"/>
  <c r="M16" i="15"/>
  <c r="H17" i="15"/>
  <c r="F19" i="15"/>
  <c r="L19" i="15"/>
  <c r="G20" i="15"/>
  <c r="M20" i="15"/>
  <c r="H21" i="15"/>
  <c r="F25" i="15"/>
  <c r="L25" i="15"/>
  <c r="G27" i="15"/>
  <c r="M27" i="15"/>
  <c r="F33" i="15"/>
  <c r="L33" i="15"/>
  <c r="G34" i="15"/>
  <c r="M34" i="15"/>
  <c r="H35" i="15"/>
  <c r="H37" i="15"/>
  <c r="G38" i="15"/>
  <c r="M38" i="15"/>
  <c r="F39" i="15"/>
  <c r="L39" i="15"/>
  <c r="H41" i="15"/>
  <c r="G42" i="15"/>
  <c r="M42" i="15"/>
  <c r="H43" i="15"/>
  <c r="I17" i="15"/>
  <c r="I21" i="15"/>
  <c r="I35" i="15"/>
  <c r="I37" i="15"/>
  <c r="I41" i="15"/>
  <c r="I43" i="15"/>
  <c r="I16" i="15"/>
  <c r="F17" i="15"/>
  <c r="L17" i="15"/>
  <c r="I20" i="15"/>
  <c r="F21" i="15"/>
  <c r="L21" i="15"/>
  <c r="I27" i="15"/>
  <c r="I34" i="15"/>
  <c r="F35" i="15"/>
  <c r="L35" i="15"/>
  <c r="F37" i="15"/>
  <c r="L37" i="15"/>
  <c r="I38" i="15"/>
  <c r="F41" i="15"/>
  <c r="L41" i="15"/>
  <c r="I42" i="15"/>
  <c r="F43" i="15"/>
  <c r="L43" i="15"/>
  <c r="F16" i="15"/>
  <c r="G17" i="15"/>
  <c r="F20" i="15"/>
  <c r="G21" i="15"/>
  <c r="F27" i="15"/>
  <c r="F34" i="15"/>
  <c r="G35" i="15"/>
  <c r="G37" i="15"/>
  <c r="F38" i="15"/>
  <c r="G41" i="15"/>
  <c r="F42" i="15"/>
  <c r="G43" i="15"/>
  <c r="G16" i="14"/>
  <c r="M16" i="14"/>
  <c r="H17" i="14"/>
  <c r="F19" i="14"/>
  <c r="L19" i="14"/>
  <c r="G20" i="14"/>
  <c r="M20" i="14"/>
  <c r="H21" i="14"/>
  <c r="F25" i="14"/>
  <c r="L25" i="14"/>
  <c r="G27" i="14"/>
  <c r="M27" i="14"/>
  <c r="F33" i="14"/>
  <c r="L33" i="14"/>
  <c r="G34" i="14"/>
  <c r="M34" i="14"/>
  <c r="H35" i="14"/>
  <c r="H37" i="14"/>
  <c r="G38" i="14"/>
  <c r="M38" i="14"/>
  <c r="F39" i="14"/>
  <c r="L39" i="14"/>
  <c r="H41" i="14"/>
  <c r="G42" i="14"/>
  <c r="M42" i="14"/>
  <c r="H43" i="14"/>
  <c r="I17" i="14"/>
  <c r="I21" i="14"/>
  <c r="I35" i="14"/>
  <c r="I37" i="14"/>
  <c r="I41" i="14"/>
  <c r="I43" i="14"/>
  <c r="I16" i="14"/>
  <c r="F17" i="14"/>
  <c r="I20" i="14"/>
  <c r="F21" i="14"/>
  <c r="L21" i="14"/>
  <c r="I27" i="14"/>
  <c r="I34" i="14"/>
  <c r="F35" i="14"/>
  <c r="L35" i="14"/>
  <c r="F37" i="14"/>
  <c r="L37" i="14"/>
  <c r="I38" i="14"/>
  <c r="F41" i="14"/>
  <c r="L41" i="14"/>
  <c r="I42" i="14"/>
  <c r="F43" i="14"/>
  <c r="L43" i="14"/>
  <c r="L17" i="14"/>
  <c r="F16" i="14"/>
  <c r="G17" i="14"/>
  <c r="F20" i="14"/>
  <c r="G21" i="14"/>
  <c r="F27" i="14"/>
  <c r="F34" i="14"/>
  <c r="G35" i="14"/>
  <c r="G37" i="14"/>
  <c r="F38" i="14"/>
  <c r="G41" i="14"/>
  <c r="F42" i="14"/>
  <c r="G43" i="14"/>
  <c r="F17" i="13"/>
  <c r="L17" i="13"/>
  <c r="F21" i="13"/>
  <c r="G16" i="13"/>
  <c r="M16" i="13"/>
  <c r="H17" i="13"/>
  <c r="F19" i="13"/>
  <c r="L19" i="13"/>
  <c r="G20" i="13"/>
  <c r="M20" i="13"/>
  <c r="H21" i="13"/>
  <c r="F25" i="13"/>
  <c r="L25" i="13"/>
  <c r="G27" i="13"/>
  <c r="M27" i="13"/>
  <c r="F33" i="13"/>
  <c r="L33" i="13"/>
  <c r="G34" i="13"/>
  <c r="M34" i="13"/>
  <c r="H35" i="13"/>
  <c r="H37" i="13"/>
  <c r="G38" i="13"/>
  <c r="M38" i="13"/>
  <c r="F39" i="13"/>
  <c r="L39" i="13"/>
  <c r="H41" i="13"/>
  <c r="G42" i="13"/>
  <c r="M42" i="13"/>
  <c r="H43" i="13"/>
  <c r="I21" i="13"/>
  <c r="I35" i="13"/>
  <c r="I37" i="13"/>
  <c r="I41" i="13"/>
  <c r="I43" i="13"/>
  <c r="I16" i="13"/>
  <c r="I20" i="13"/>
  <c r="I27" i="13"/>
  <c r="I34" i="13"/>
  <c r="F35" i="13"/>
  <c r="L35" i="13"/>
  <c r="F37" i="13"/>
  <c r="L37" i="13"/>
  <c r="I38" i="13"/>
  <c r="F41" i="13"/>
  <c r="L41" i="13"/>
  <c r="I42" i="13"/>
  <c r="F43" i="13"/>
  <c r="L43" i="13"/>
  <c r="I17" i="13"/>
  <c r="L21" i="13"/>
  <c r="F16" i="13"/>
  <c r="G17" i="13"/>
  <c r="F20" i="13"/>
  <c r="G21" i="13"/>
  <c r="F27" i="13"/>
  <c r="F34" i="13"/>
  <c r="G35" i="13"/>
  <c r="G37" i="13"/>
  <c r="F38" i="13"/>
  <c r="G41" i="13"/>
  <c r="F42" i="13"/>
  <c r="G43" i="13"/>
  <c r="I18" i="12"/>
  <c r="G20" i="12"/>
  <c r="M20" i="12"/>
  <c r="I24" i="12"/>
  <c r="F25" i="12"/>
  <c r="L25" i="12"/>
  <c r="I36" i="12"/>
  <c r="I40" i="12"/>
  <c r="M42" i="12"/>
  <c r="I44" i="12"/>
  <c r="G16" i="12"/>
  <c r="M16" i="12"/>
  <c r="H16" i="12"/>
  <c r="F18" i="12"/>
  <c r="L18" i="12"/>
  <c r="G19" i="12"/>
  <c r="M19" i="12"/>
  <c r="H20" i="12"/>
  <c r="F24" i="12"/>
  <c r="L24" i="12"/>
  <c r="G25" i="12"/>
  <c r="M25" i="12"/>
  <c r="H34" i="12"/>
  <c r="I35" i="12"/>
  <c r="F36" i="12"/>
  <c r="L36" i="12"/>
  <c r="I37" i="12"/>
  <c r="H38" i="12"/>
  <c r="M39" i="12"/>
  <c r="F40" i="12"/>
  <c r="L40" i="12"/>
  <c r="I41" i="12"/>
  <c r="H42" i="12"/>
  <c r="I43" i="12"/>
  <c r="F44" i="12"/>
  <c r="L44" i="12"/>
  <c r="I20" i="12"/>
  <c r="I34" i="12"/>
  <c r="G36" i="12"/>
  <c r="M36" i="12"/>
  <c r="I38" i="12"/>
  <c r="G40" i="12"/>
  <c r="M40" i="12"/>
  <c r="I42" i="12"/>
  <c r="G44" i="12"/>
  <c r="M44" i="12"/>
  <c r="I16" i="12"/>
  <c r="G18" i="12"/>
  <c r="M18" i="12"/>
  <c r="F16" i="12"/>
  <c r="F20" i="12"/>
  <c r="F34" i="12"/>
  <c r="G35" i="12"/>
  <c r="G37" i="12"/>
  <c r="F38" i="12"/>
  <c r="G41" i="12"/>
  <c r="F42" i="12"/>
  <c r="G43" i="12"/>
  <c r="J51" i="15" l="1"/>
  <c r="N53" i="15"/>
  <c r="N55" i="15" s="1"/>
  <c r="H118" i="1"/>
  <c r="K51" i="15"/>
  <c r="J51" i="14"/>
  <c r="N57" i="14"/>
  <c r="N60" i="14" s="1"/>
  <c r="G61" i="14" s="1"/>
  <c r="H117" i="1"/>
  <c r="K51" i="14"/>
  <c r="N57" i="13"/>
  <c r="N60" i="13" s="1"/>
  <c r="L61" i="13" s="1"/>
  <c r="H116" i="1"/>
  <c r="J51" i="13"/>
  <c r="K51" i="13"/>
  <c r="N57" i="12"/>
  <c r="N60" i="12" s="1"/>
  <c r="L61" i="12" s="1"/>
  <c r="H115" i="1"/>
  <c r="J51" i="12"/>
  <c r="K51" i="12"/>
  <c r="F51" i="12"/>
  <c r="H26" i="12"/>
  <c r="F26" i="13"/>
  <c r="I26" i="13"/>
  <c r="I26" i="14"/>
  <c r="G26" i="14"/>
  <c r="F26" i="15"/>
  <c r="L26" i="15"/>
  <c r="L28" i="15" s="1"/>
  <c r="L30" i="15" s="1"/>
  <c r="F118" i="1" s="1"/>
  <c r="L26" i="13"/>
  <c r="L28" i="13" s="1"/>
  <c r="L30" i="13" s="1"/>
  <c r="F116" i="1" s="1"/>
  <c r="L26" i="12"/>
  <c r="L28" i="12" s="1"/>
  <c r="L26" i="14"/>
  <c r="L28" i="14" s="1"/>
  <c r="L30" i="14" s="1"/>
  <c r="F117" i="1" s="1"/>
  <c r="M26" i="12"/>
  <c r="M26" i="15"/>
  <c r="H26" i="13"/>
  <c r="H28" i="13" s="1"/>
  <c r="H30" i="13" s="1"/>
  <c r="D116" i="1" s="1"/>
  <c r="H26" i="14"/>
  <c r="H28" i="14" s="1"/>
  <c r="H30" i="14" s="1"/>
  <c r="D117" i="1" s="1"/>
  <c r="I26" i="12"/>
  <c r="G26" i="12"/>
  <c r="F26" i="14"/>
  <c r="I26" i="15"/>
  <c r="G26" i="15"/>
  <c r="F26" i="12"/>
  <c r="F28" i="12" s="1"/>
  <c r="G26" i="13"/>
  <c r="M26" i="14"/>
  <c r="H26" i="15"/>
  <c r="H28" i="15" s="1"/>
  <c r="H30" i="15" s="1"/>
  <c r="D118" i="1" s="1"/>
  <c r="N53" i="13"/>
  <c r="N55" i="13" s="1"/>
  <c r="N53" i="12"/>
  <c r="N55" i="12" s="1"/>
  <c r="N53" i="14"/>
  <c r="N55" i="14" s="1"/>
  <c r="N57" i="15"/>
  <c r="N60" i="15" s="1"/>
  <c r="H51" i="12"/>
  <c r="H58" i="12" s="1"/>
  <c r="H51" i="13"/>
  <c r="H58" i="13" s="1"/>
  <c r="I51" i="14"/>
  <c r="I58" i="14" s="1"/>
  <c r="I51" i="15"/>
  <c r="I58" i="15" s="1"/>
  <c r="M51" i="15"/>
  <c r="M58" i="15" s="1"/>
  <c r="G51" i="15"/>
  <c r="G58" i="15" s="1"/>
  <c r="H51" i="15"/>
  <c r="H58" i="15" s="1"/>
  <c r="M51" i="14"/>
  <c r="M58" i="14" s="1"/>
  <c r="G51" i="14"/>
  <c r="G58" i="14" s="1"/>
  <c r="H51" i="14"/>
  <c r="H58" i="14" s="1"/>
  <c r="I51" i="13"/>
  <c r="I58" i="13" s="1"/>
  <c r="M51" i="13"/>
  <c r="M58" i="13" s="1"/>
  <c r="G51" i="13"/>
  <c r="G58" i="13" s="1"/>
  <c r="G51" i="12"/>
  <c r="G58" i="12" s="1"/>
  <c r="I51" i="12"/>
  <c r="I58" i="12" s="1"/>
  <c r="M51" i="12"/>
  <c r="M58" i="12" s="1"/>
  <c r="L51" i="12"/>
  <c r="L58" i="12" s="1"/>
  <c r="F58" i="12"/>
  <c r="F51" i="15"/>
  <c r="F58" i="15" s="1"/>
  <c r="L51" i="15"/>
  <c r="L58" i="15" s="1"/>
  <c r="F51" i="14"/>
  <c r="F58" i="14" s="1"/>
  <c r="L51" i="14"/>
  <c r="L58" i="14" s="1"/>
  <c r="M26" i="13"/>
  <c r="M28" i="13" s="1"/>
  <c r="L51" i="13"/>
  <c r="L58" i="13" s="1"/>
  <c r="F51" i="13"/>
  <c r="F58" i="13" s="1"/>
  <c r="G61" i="13" l="1"/>
  <c r="H61" i="13"/>
  <c r="F61" i="13"/>
  <c r="I61" i="13"/>
  <c r="M61" i="13"/>
  <c r="M61" i="14"/>
  <c r="F61" i="14"/>
  <c r="L61" i="14"/>
  <c r="H61" i="15"/>
  <c r="K61" i="15"/>
  <c r="J61" i="15"/>
  <c r="K58" i="15"/>
  <c r="K60" i="15" s="1"/>
  <c r="K53" i="15"/>
  <c r="K55" i="15" s="1"/>
  <c r="K56" i="15" s="1"/>
  <c r="J58" i="15"/>
  <c r="J60" i="15" s="1"/>
  <c r="J53" i="15"/>
  <c r="J55" i="15" s="1"/>
  <c r="J56" i="15" s="1"/>
  <c r="K58" i="14"/>
  <c r="K60" i="14" s="1"/>
  <c r="K53" i="14"/>
  <c r="K55" i="14" s="1"/>
  <c r="K56" i="14" s="1"/>
  <c r="K61" i="14"/>
  <c r="J61" i="14"/>
  <c r="H61" i="14"/>
  <c r="I61" i="14"/>
  <c r="J58" i="14"/>
  <c r="J60" i="14" s="1"/>
  <c r="J53" i="14"/>
  <c r="J55" i="14" s="1"/>
  <c r="J56" i="14" s="1"/>
  <c r="K58" i="13"/>
  <c r="K60" i="13" s="1"/>
  <c r="K53" i="13"/>
  <c r="K55" i="13" s="1"/>
  <c r="K56" i="13" s="1"/>
  <c r="J58" i="13"/>
  <c r="J60" i="13" s="1"/>
  <c r="J53" i="13"/>
  <c r="J55" i="13" s="1"/>
  <c r="J56" i="13" s="1"/>
  <c r="K61" i="13"/>
  <c r="J61" i="13"/>
  <c r="F61" i="12"/>
  <c r="K61" i="12"/>
  <c r="J61" i="12"/>
  <c r="G61" i="12"/>
  <c r="M61" i="12"/>
  <c r="H61" i="12"/>
  <c r="K58" i="12"/>
  <c r="K60" i="12" s="1"/>
  <c r="K53" i="12"/>
  <c r="K55" i="12" s="1"/>
  <c r="K56" i="12" s="1"/>
  <c r="I61" i="12"/>
  <c r="J58" i="12"/>
  <c r="J60" i="12" s="1"/>
  <c r="J53" i="12"/>
  <c r="J55" i="12" s="1"/>
  <c r="J56" i="12" s="1"/>
  <c r="F30" i="12"/>
  <c r="F53" i="12" s="1"/>
  <c r="F55" i="12" s="1"/>
  <c r="F56" i="12" s="1"/>
  <c r="L30" i="12"/>
  <c r="F115" i="1" s="1"/>
  <c r="L61" i="15"/>
  <c r="F61" i="15"/>
  <c r="G61" i="15"/>
  <c r="I61" i="15"/>
  <c r="M61" i="15"/>
  <c r="G28" i="15"/>
  <c r="G30" i="15" s="1"/>
  <c r="C118" i="1" s="1"/>
  <c r="H57" i="15"/>
  <c r="H60" i="15" s="1"/>
  <c r="H53" i="15"/>
  <c r="H55" i="15" s="1"/>
  <c r="H56" i="15" s="1"/>
  <c r="F28" i="15"/>
  <c r="F30" i="15" s="1"/>
  <c r="B118" i="1" s="1"/>
  <c r="I28" i="15"/>
  <c r="I30" i="15" s="1"/>
  <c r="E118" i="1" s="1"/>
  <c r="M28" i="15"/>
  <c r="M30" i="15" s="1"/>
  <c r="G118" i="1" s="1"/>
  <c r="L57" i="15"/>
  <c r="L60" i="15" s="1"/>
  <c r="L53" i="15"/>
  <c r="L55" i="15" s="1"/>
  <c r="L56" i="15" s="1"/>
  <c r="H57" i="14"/>
  <c r="H60" i="14" s="1"/>
  <c r="H53" i="14"/>
  <c r="H55" i="14" s="1"/>
  <c r="H56" i="14" s="1"/>
  <c r="L57" i="14"/>
  <c r="L60" i="14" s="1"/>
  <c r="L53" i="14"/>
  <c r="L55" i="14" s="1"/>
  <c r="L56" i="14" s="1"/>
  <c r="F28" i="14"/>
  <c r="F30" i="14" s="1"/>
  <c r="B117" i="1" s="1"/>
  <c r="I28" i="14"/>
  <c r="I30" i="14" s="1"/>
  <c r="E117" i="1" s="1"/>
  <c r="G28" i="14"/>
  <c r="G30" i="14" s="1"/>
  <c r="C117" i="1" s="1"/>
  <c r="M28" i="14"/>
  <c r="M30" i="14" s="1"/>
  <c r="G117" i="1" s="1"/>
  <c r="L57" i="13"/>
  <c r="L60" i="13" s="1"/>
  <c r="L63" i="13" s="1"/>
  <c r="H101" i="1" s="1"/>
  <c r="L53" i="13"/>
  <c r="L55" i="13" s="1"/>
  <c r="L56" i="13" s="1"/>
  <c r="H57" i="13"/>
  <c r="H60" i="13" s="1"/>
  <c r="H63" i="13" s="1"/>
  <c r="D101" i="1" s="1"/>
  <c r="H53" i="13"/>
  <c r="H55" i="13" s="1"/>
  <c r="H56" i="13" s="1"/>
  <c r="G28" i="13"/>
  <c r="G30" i="13" s="1"/>
  <c r="C116" i="1" s="1"/>
  <c r="M30" i="13"/>
  <c r="G116" i="1" s="1"/>
  <c r="I28" i="13"/>
  <c r="I30" i="13" s="1"/>
  <c r="E116" i="1" s="1"/>
  <c r="F28" i="13"/>
  <c r="F30" i="13" s="1"/>
  <c r="B116" i="1" s="1"/>
  <c r="H28" i="12"/>
  <c r="I28" i="12"/>
  <c r="G28" i="12"/>
  <c r="G30" i="12" s="1"/>
  <c r="M28" i="12"/>
  <c r="D63" i="11"/>
  <c r="N52" i="11"/>
  <c r="N59" i="11" s="1"/>
  <c r="N51" i="11"/>
  <c r="N58" i="11" s="1"/>
  <c r="M50" i="11"/>
  <c r="L50" i="11"/>
  <c r="I50" i="11"/>
  <c r="H50" i="11"/>
  <c r="G50" i="11"/>
  <c r="F50" i="11"/>
  <c r="M49" i="11"/>
  <c r="L49" i="11"/>
  <c r="I49" i="11"/>
  <c r="H49" i="11"/>
  <c r="G49" i="11"/>
  <c r="F49" i="11"/>
  <c r="M48" i="11"/>
  <c r="L48" i="11"/>
  <c r="I48" i="11"/>
  <c r="H48" i="11"/>
  <c r="G48" i="11"/>
  <c r="F48" i="11"/>
  <c r="M47" i="11"/>
  <c r="L47" i="11"/>
  <c r="I47" i="11"/>
  <c r="H47" i="11"/>
  <c r="G47" i="11"/>
  <c r="F47" i="11"/>
  <c r="M46" i="11"/>
  <c r="L46" i="11"/>
  <c r="I46" i="11"/>
  <c r="H46" i="11"/>
  <c r="G46" i="11"/>
  <c r="F46" i="11"/>
  <c r="E44" i="11"/>
  <c r="E43" i="11"/>
  <c r="E42" i="11"/>
  <c r="S41" i="11"/>
  <c r="E41" i="11"/>
  <c r="S40" i="11"/>
  <c r="E40" i="11"/>
  <c r="S39" i="11"/>
  <c r="E39" i="11"/>
  <c r="S38" i="11"/>
  <c r="E38" i="11"/>
  <c r="S37" i="11"/>
  <c r="E37" i="11"/>
  <c r="S36" i="11"/>
  <c r="E36" i="11"/>
  <c r="E35" i="11"/>
  <c r="E34" i="11"/>
  <c r="E33" i="11"/>
  <c r="M32" i="11"/>
  <c r="L32" i="11"/>
  <c r="I32" i="11"/>
  <c r="H32" i="11"/>
  <c r="G32" i="11"/>
  <c r="F32" i="11"/>
  <c r="I25" i="11"/>
  <c r="I24" i="11"/>
  <c r="M21" i="11"/>
  <c r="L20" i="11"/>
  <c r="I19" i="11"/>
  <c r="I18" i="11"/>
  <c r="M17" i="11"/>
  <c r="L16" i="11"/>
  <c r="N15" i="11"/>
  <c r="N14" i="11"/>
  <c r="D63" i="10"/>
  <c r="A98" i="1" s="1"/>
  <c r="N52" i="10"/>
  <c r="N59" i="10" s="1"/>
  <c r="N51" i="10"/>
  <c r="N58" i="10" s="1"/>
  <c r="M50" i="10"/>
  <c r="L50" i="10"/>
  <c r="I50" i="10"/>
  <c r="H50" i="10"/>
  <c r="G50" i="10"/>
  <c r="F50" i="10"/>
  <c r="M49" i="10"/>
  <c r="L49" i="10"/>
  <c r="I49" i="10"/>
  <c r="H49" i="10"/>
  <c r="G49" i="10"/>
  <c r="F49" i="10"/>
  <c r="M48" i="10"/>
  <c r="L48" i="10"/>
  <c r="I48" i="10"/>
  <c r="H48" i="10"/>
  <c r="G48" i="10"/>
  <c r="F48" i="10"/>
  <c r="M47" i="10"/>
  <c r="L47" i="10"/>
  <c r="I47" i="10"/>
  <c r="H47" i="10"/>
  <c r="G47" i="10"/>
  <c r="F47" i="10"/>
  <c r="M46" i="10"/>
  <c r="L46" i="10"/>
  <c r="I46" i="10"/>
  <c r="H46" i="10"/>
  <c r="G46" i="10"/>
  <c r="F46" i="10"/>
  <c r="E44" i="10"/>
  <c r="E43" i="10"/>
  <c r="E42" i="10"/>
  <c r="S41" i="10"/>
  <c r="E41" i="10"/>
  <c r="S40" i="10"/>
  <c r="E40" i="10"/>
  <c r="S39" i="10"/>
  <c r="E39" i="10"/>
  <c r="S38" i="10"/>
  <c r="E38" i="10"/>
  <c r="S37" i="10"/>
  <c r="E37" i="10"/>
  <c r="S36" i="10"/>
  <c r="E36" i="10"/>
  <c r="E35" i="10"/>
  <c r="E34" i="10"/>
  <c r="E33" i="10"/>
  <c r="M32" i="10"/>
  <c r="L32" i="10"/>
  <c r="I32" i="10"/>
  <c r="H32" i="10"/>
  <c r="G32" i="10"/>
  <c r="F32" i="10"/>
  <c r="I25" i="10"/>
  <c r="I24" i="10"/>
  <c r="M21" i="10"/>
  <c r="L20" i="10"/>
  <c r="I19" i="10"/>
  <c r="I18" i="10"/>
  <c r="M17" i="10"/>
  <c r="L16" i="10"/>
  <c r="N15" i="10"/>
  <c r="N14" i="10"/>
  <c r="H63" i="15" l="1"/>
  <c r="D103" i="1" s="1"/>
  <c r="K63" i="15"/>
  <c r="G103" i="1" s="1"/>
  <c r="L63" i="14"/>
  <c r="H102" i="1" s="1"/>
  <c r="J63" i="15"/>
  <c r="F103" i="1" s="1"/>
  <c r="B115" i="1"/>
  <c r="J63" i="13"/>
  <c r="F101" i="1" s="1"/>
  <c r="H63" i="14"/>
  <c r="D102" i="1" s="1"/>
  <c r="J63" i="14"/>
  <c r="F102" i="1" s="1"/>
  <c r="K63" i="14"/>
  <c r="G102" i="1" s="1"/>
  <c r="K63" i="13"/>
  <c r="G101" i="1" s="1"/>
  <c r="J63" i="12"/>
  <c r="F100" i="1" s="1"/>
  <c r="K63" i="12"/>
  <c r="G100" i="1" s="1"/>
  <c r="K38" i="11"/>
  <c r="J38" i="11"/>
  <c r="K42" i="11"/>
  <c r="J42" i="11"/>
  <c r="K33" i="11"/>
  <c r="J33" i="11"/>
  <c r="K43" i="11"/>
  <c r="J43" i="11"/>
  <c r="K40" i="11"/>
  <c r="J40" i="11"/>
  <c r="K41" i="11"/>
  <c r="J41" i="11"/>
  <c r="K44" i="11"/>
  <c r="J44" i="11"/>
  <c r="K35" i="11"/>
  <c r="J35" i="11"/>
  <c r="K36" i="11"/>
  <c r="J36" i="11"/>
  <c r="K34" i="11"/>
  <c r="J34" i="11"/>
  <c r="J39" i="11"/>
  <c r="K39" i="11"/>
  <c r="K37" i="11"/>
  <c r="J37" i="11"/>
  <c r="K40" i="10"/>
  <c r="J40" i="10"/>
  <c r="J41" i="10"/>
  <c r="K41" i="10"/>
  <c r="J33" i="10"/>
  <c r="K33" i="10"/>
  <c r="J34" i="10"/>
  <c r="K34" i="10"/>
  <c r="K36" i="10"/>
  <c r="J36" i="10"/>
  <c r="K42" i="10"/>
  <c r="J42" i="10"/>
  <c r="K43" i="10"/>
  <c r="J43" i="10"/>
  <c r="K44" i="10"/>
  <c r="J44" i="10"/>
  <c r="J35" i="10"/>
  <c r="K35" i="10"/>
  <c r="J38" i="10"/>
  <c r="K38" i="10"/>
  <c r="K39" i="10"/>
  <c r="J39" i="10"/>
  <c r="K37" i="10"/>
  <c r="J37" i="10"/>
  <c r="F57" i="12"/>
  <c r="F60" i="12" s="1"/>
  <c r="F63" i="12" s="1"/>
  <c r="B100" i="1" s="1"/>
  <c r="L53" i="12"/>
  <c r="L55" i="12" s="1"/>
  <c r="L56" i="12" s="1"/>
  <c r="L57" i="12"/>
  <c r="L60" i="12" s="1"/>
  <c r="L63" i="12" s="1"/>
  <c r="C115" i="1"/>
  <c r="H30" i="12"/>
  <c r="D115" i="1" s="1"/>
  <c r="M30" i="12"/>
  <c r="G115" i="1" s="1"/>
  <c r="I30" i="12"/>
  <c r="E115" i="1" s="1"/>
  <c r="L63" i="15"/>
  <c r="H27" i="10"/>
  <c r="L27" i="10"/>
  <c r="A99" i="1"/>
  <c r="A114" i="1"/>
  <c r="F52" i="10"/>
  <c r="F59" i="10" s="1"/>
  <c r="L52" i="10"/>
  <c r="L59" i="10" s="1"/>
  <c r="G52" i="11"/>
  <c r="G59" i="11" s="1"/>
  <c r="M52" i="11"/>
  <c r="M59" i="11" s="1"/>
  <c r="I52" i="10"/>
  <c r="I59" i="10" s="1"/>
  <c r="H52" i="11"/>
  <c r="H59" i="11" s="1"/>
  <c r="G52" i="10"/>
  <c r="G59" i="10" s="1"/>
  <c r="M52" i="10"/>
  <c r="M59" i="10" s="1"/>
  <c r="H52" i="10"/>
  <c r="H59" i="10" s="1"/>
  <c r="T37" i="13"/>
  <c r="T39" i="13"/>
  <c r="F52" i="11"/>
  <c r="F59" i="11" s="1"/>
  <c r="L52" i="11"/>
  <c r="L59" i="11" s="1"/>
  <c r="I52" i="11"/>
  <c r="I59" i="11" s="1"/>
  <c r="H27" i="11"/>
  <c r="A113" i="1"/>
  <c r="T39" i="15"/>
  <c r="I57" i="15"/>
  <c r="I60" i="15" s="1"/>
  <c r="I63" i="15" s="1"/>
  <c r="E103" i="1" s="1"/>
  <c r="I53" i="15"/>
  <c r="I55" i="15" s="1"/>
  <c r="I56" i="15" s="1"/>
  <c r="M57" i="15"/>
  <c r="M60" i="15" s="1"/>
  <c r="M63" i="15" s="1"/>
  <c r="I103" i="1" s="1"/>
  <c r="M53" i="15"/>
  <c r="M55" i="15" s="1"/>
  <c r="M56" i="15" s="1"/>
  <c r="F57" i="15"/>
  <c r="F60" i="15" s="1"/>
  <c r="F63" i="15" s="1"/>
  <c r="B103" i="1" s="1"/>
  <c r="F53" i="15"/>
  <c r="F55" i="15" s="1"/>
  <c r="F56" i="15" s="1"/>
  <c r="G57" i="15"/>
  <c r="G60" i="15" s="1"/>
  <c r="G63" i="15" s="1"/>
  <c r="C103" i="1" s="1"/>
  <c r="G53" i="15"/>
  <c r="G55" i="15" s="1"/>
  <c r="G56" i="15" s="1"/>
  <c r="M57" i="14"/>
  <c r="M60" i="14" s="1"/>
  <c r="M63" i="14" s="1"/>
  <c r="I102" i="1" s="1"/>
  <c r="M53" i="14"/>
  <c r="M55" i="14" s="1"/>
  <c r="M56" i="14" s="1"/>
  <c r="F57" i="14"/>
  <c r="F60" i="14" s="1"/>
  <c r="F63" i="14" s="1"/>
  <c r="B102" i="1" s="1"/>
  <c r="F53" i="14"/>
  <c r="F55" i="14" s="1"/>
  <c r="F56" i="14" s="1"/>
  <c r="G57" i="14"/>
  <c r="G60" i="14" s="1"/>
  <c r="G63" i="14" s="1"/>
  <c r="C102" i="1" s="1"/>
  <c r="G53" i="14"/>
  <c r="G55" i="14" s="1"/>
  <c r="G56" i="14" s="1"/>
  <c r="I57" i="14"/>
  <c r="I60" i="14" s="1"/>
  <c r="I63" i="14" s="1"/>
  <c r="E102" i="1" s="1"/>
  <c r="I53" i="14"/>
  <c r="I55" i="14" s="1"/>
  <c r="I56" i="14" s="1"/>
  <c r="M57" i="13"/>
  <c r="M60" i="13" s="1"/>
  <c r="M63" i="13" s="1"/>
  <c r="I101" i="1" s="1"/>
  <c r="M53" i="13"/>
  <c r="M55" i="13" s="1"/>
  <c r="M56" i="13" s="1"/>
  <c r="F57" i="13"/>
  <c r="F60" i="13" s="1"/>
  <c r="F63" i="13" s="1"/>
  <c r="B101" i="1" s="1"/>
  <c r="F53" i="13"/>
  <c r="F55" i="13" s="1"/>
  <c r="F56" i="13" s="1"/>
  <c r="G57" i="13"/>
  <c r="G60" i="13" s="1"/>
  <c r="G63" i="13" s="1"/>
  <c r="C101" i="1" s="1"/>
  <c r="G53" i="13"/>
  <c r="G55" i="13" s="1"/>
  <c r="G56" i="13" s="1"/>
  <c r="I57" i="13"/>
  <c r="I60" i="13" s="1"/>
  <c r="I63" i="13" s="1"/>
  <c r="E101" i="1" s="1"/>
  <c r="I53" i="13"/>
  <c r="I55" i="13" s="1"/>
  <c r="I56" i="13" s="1"/>
  <c r="G57" i="12"/>
  <c r="G60" i="12" s="1"/>
  <c r="G63" i="12" s="1"/>
  <c r="C100" i="1" s="1"/>
  <c r="G53" i="12"/>
  <c r="G55" i="12" s="1"/>
  <c r="G56" i="12" s="1"/>
  <c r="G18" i="11"/>
  <c r="F43" i="11"/>
  <c r="G43" i="11"/>
  <c r="M43" i="11"/>
  <c r="H43" i="11"/>
  <c r="I43" i="11"/>
  <c r="L43" i="11"/>
  <c r="I34" i="11"/>
  <c r="F34" i="11"/>
  <c r="L34" i="11"/>
  <c r="G34" i="11"/>
  <c r="M34" i="11"/>
  <c r="H34" i="11"/>
  <c r="H37" i="11"/>
  <c r="I37" i="11"/>
  <c r="L37" i="11"/>
  <c r="G37" i="11"/>
  <c r="M37" i="11"/>
  <c r="F37" i="11"/>
  <c r="F39" i="11"/>
  <c r="G39" i="11"/>
  <c r="M39" i="11"/>
  <c r="H39" i="11"/>
  <c r="I39" i="11"/>
  <c r="L39" i="11"/>
  <c r="I41" i="11"/>
  <c r="L41" i="11"/>
  <c r="G41" i="11"/>
  <c r="M41" i="11"/>
  <c r="H41" i="11"/>
  <c r="F41" i="11"/>
  <c r="G44" i="11"/>
  <c r="I44" i="11"/>
  <c r="F44" i="11"/>
  <c r="L44" i="11"/>
  <c r="M44" i="11"/>
  <c r="H44" i="11"/>
  <c r="H35" i="11"/>
  <c r="I35" i="11"/>
  <c r="F35" i="11"/>
  <c r="G35" i="11"/>
  <c r="M35" i="11"/>
  <c r="L35" i="11"/>
  <c r="F36" i="11"/>
  <c r="L36" i="11"/>
  <c r="H36" i="11"/>
  <c r="I36" i="11"/>
  <c r="G36" i="11"/>
  <c r="M36" i="11"/>
  <c r="F38" i="11"/>
  <c r="M38" i="11"/>
  <c r="I38" i="11"/>
  <c r="L38" i="11"/>
  <c r="G38" i="11"/>
  <c r="H38" i="11"/>
  <c r="F40" i="11"/>
  <c r="G40" i="11"/>
  <c r="H40" i="11"/>
  <c r="I40" i="11"/>
  <c r="L40" i="11"/>
  <c r="M40" i="11"/>
  <c r="L42" i="11"/>
  <c r="M42" i="11"/>
  <c r="I42" i="11"/>
  <c r="F42" i="11"/>
  <c r="G42" i="11"/>
  <c r="H42" i="11"/>
  <c r="I33" i="11"/>
  <c r="M33" i="11"/>
  <c r="L33" i="11"/>
  <c r="H33" i="11"/>
  <c r="F33" i="11"/>
  <c r="G33" i="11"/>
  <c r="M33" i="10"/>
  <c r="H33" i="10"/>
  <c r="F33" i="10"/>
  <c r="I33" i="10"/>
  <c r="L33" i="10"/>
  <c r="G33" i="10"/>
  <c r="F43" i="10"/>
  <c r="G43" i="10"/>
  <c r="M43" i="10"/>
  <c r="H43" i="10"/>
  <c r="I43" i="10"/>
  <c r="L43" i="10"/>
  <c r="F34" i="10"/>
  <c r="L34" i="10"/>
  <c r="H34" i="10"/>
  <c r="I34" i="10"/>
  <c r="G34" i="10"/>
  <c r="M34" i="10"/>
  <c r="I37" i="10"/>
  <c r="F37" i="10"/>
  <c r="G37" i="10"/>
  <c r="M37" i="10"/>
  <c r="H37" i="10"/>
  <c r="L37" i="10"/>
  <c r="H39" i="10"/>
  <c r="L39" i="10"/>
  <c r="G39" i="10"/>
  <c r="M39" i="10"/>
  <c r="I39" i="10"/>
  <c r="F39" i="10"/>
  <c r="I41" i="10"/>
  <c r="L41" i="10"/>
  <c r="G41" i="10"/>
  <c r="M41" i="10"/>
  <c r="H41" i="10"/>
  <c r="F41" i="10"/>
  <c r="F44" i="10"/>
  <c r="G44" i="10"/>
  <c r="H44" i="10"/>
  <c r="I44" i="10"/>
  <c r="L44" i="10"/>
  <c r="M44" i="10"/>
  <c r="H35" i="10"/>
  <c r="I35" i="10"/>
  <c r="L35" i="10"/>
  <c r="G35" i="10"/>
  <c r="M35" i="10"/>
  <c r="F35" i="10"/>
  <c r="F36" i="10"/>
  <c r="L36" i="10"/>
  <c r="I36" i="10"/>
  <c r="G36" i="10"/>
  <c r="M36" i="10"/>
  <c r="H36" i="10"/>
  <c r="F38" i="10"/>
  <c r="M38" i="10"/>
  <c r="H38" i="10"/>
  <c r="I38" i="10"/>
  <c r="L38" i="10"/>
  <c r="G38" i="10"/>
  <c r="L40" i="10"/>
  <c r="G40" i="10"/>
  <c r="H40" i="10"/>
  <c r="I40" i="10"/>
  <c r="F40" i="10"/>
  <c r="M40" i="10"/>
  <c r="F42" i="10"/>
  <c r="M42" i="10"/>
  <c r="I42" i="10"/>
  <c r="L42" i="10"/>
  <c r="G42" i="10"/>
  <c r="H42" i="10"/>
  <c r="H18" i="10"/>
  <c r="G19" i="11"/>
  <c r="F18" i="10"/>
  <c r="H20" i="10"/>
  <c r="M19" i="10"/>
  <c r="M18" i="11"/>
  <c r="M18" i="10"/>
  <c r="F18" i="11"/>
  <c r="H20" i="11"/>
  <c r="G18" i="10"/>
  <c r="G19" i="10"/>
  <c r="H18" i="11"/>
  <c r="M19" i="11"/>
  <c r="G24" i="11"/>
  <c r="G24" i="10"/>
  <c r="L18" i="10"/>
  <c r="H19" i="10"/>
  <c r="H24" i="10"/>
  <c r="G25" i="10"/>
  <c r="L18" i="11"/>
  <c r="H19" i="11"/>
  <c r="H24" i="11"/>
  <c r="G25" i="11"/>
  <c r="L24" i="10"/>
  <c r="H25" i="10"/>
  <c r="L24" i="11"/>
  <c r="H25" i="11"/>
  <c r="N26" i="10"/>
  <c r="N30" i="10" s="1"/>
  <c r="H16" i="10"/>
  <c r="F24" i="10"/>
  <c r="M24" i="10"/>
  <c r="M25" i="10"/>
  <c r="N26" i="11"/>
  <c r="N30" i="11" s="1"/>
  <c r="H16" i="11"/>
  <c r="F24" i="11"/>
  <c r="M24" i="11"/>
  <c r="M25" i="11"/>
  <c r="I17" i="11"/>
  <c r="I21" i="11"/>
  <c r="G16" i="11"/>
  <c r="M16" i="11"/>
  <c r="H17" i="11"/>
  <c r="F19" i="11"/>
  <c r="L19" i="11"/>
  <c r="G20" i="11"/>
  <c r="M20" i="11"/>
  <c r="H21" i="11"/>
  <c r="F25" i="11"/>
  <c r="L25" i="11"/>
  <c r="G27" i="11"/>
  <c r="F17" i="11"/>
  <c r="L17" i="11"/>
  <c r="I20" i="11"/>
  <c r="F21" i="11"/>
  <c r="L21" i="11"/>
  <c r="I27" i="11"/>
  <c r="I16" i="11"/>
  <c r="F16" i="11"/>
  <c r="G17" i="11"/>
  <c r="F20" i="11"/>
  <c r="G21" i="11"/>
  <c r="F27" i="11"/>
  <c r="F21" i="10"/>
  <c r="G16" i="10"/>
  <c r="M16" i="10"/>
  <c r="H17" i="10"/>
  <c r="F19" i="10"/>
  <c r="L19" i="10"/>
  <c r="G20" i="10"/>
  <c r="M20" i="10"/>
  <c r="H21" i="10"/>
  <c r="F25" i="10"/>
  <c r="L25" i="10"/>
  <c r="G27" i="10"/>
  <c r="M27" i="10"/>
  <c r="I17" i="10"/>
  <c r="L17" i="10"/>
  <c r="I27" i="10"/>
  <c r="I21" i="10"/>
  <c r="I16" i="10"/>
  <c r="F17" i="10"/>
  <c r="I20" i="10"/>
  <c r="L21" i="10"/>
  <c r="F16" i="10"/>
  <c r="G17" i="10"/>
  <c r="F20" i="10"/>
  <c r="G21" i="10"/>
  <c r="F27" i="10"/>
  <c r="T39" i="14" l="1"/>
  <c r="T37" i="14"/>
  <c r="T37" i="12"/>
  <c r="H100" i="1"/>
  <c r="T41" i="12"/>
  <c r="T37" i="15"/>
  <c r="H103" i="1"/>
  <c r="N57" i="11"/>
  <c r="N60" i="11" s="1"/>
  <c r="L61" i="11" s="1"/>
  <c r="H114" i="1"/>
  <c r="J51" i="11"/>
  <c r="K51" i="11"/>
  <c r="J51" i="10"/>
  <c r="K51" i="10"/>
  <c r="N57" i="10"/>
  <c r="N60" i="10" s="1"/>
  <c r="L61" i="10" s="1"/>
  <c r="H113" i="1"/>
  <c r="M53" i="12"/>
  <c r="M55" i="12" s="1"/>
  <c r="M56" i="12" s="1"/>
  <c r="I57" i="12"/>
  <c r="I60" i="12" s="1"/>
  <c r="I63" i="12" s="1"/>
  <c r="I26" i="11"/>
  <c r="H53" i="12"/>
  <c r="H55" i="12" s="1"/>
  <c r="H56" i="12" s="1"/>
  <c r="I53" i="12"/>
  <c r="I55" i="12" s="1"/>
  <c r="I56" i="12" s="1"/>
  <c r="H57" i="12"/>
  <c r="H60" i="12" s="1"/>
  <c r="H63" i="12" s="1"/>
  <c r="D100" i="1" s="1"/>
  <c r="M57" i="12"/>
  <c r="M60" i="12" s="1"/>
  <c r="M63" i="12" s="1"/>
  <c r="L26" i="10"/>
  <c r="L28" i="10" s="1"/>
  <c r="L30" i="10" s="1"/>
  <c r="F113" i="1" s="1"/>
  <c r="L26" i="11"/>
  <c r="L28" i="11" s="1"/>
  <c r="F26" i="11"/>
  <c r="F28" i="11" s="1"/>
  <c r="M26" i="11"/>
  <c r="H26" i="10"/>
  <c r="H28" i="10" s="1"/>
  <c r="H30" i="10" s="1"/>
  <c r="D113" i="1" s="1"/>
  <c r="M26" i="10"/>
  <c r="M28" i="10" s="1"/>
  <c r="M30" i="10" s="1"/>
  <c r="G113" i="1" s="1"/>
  <c r="F26" i="10"/>
  <c r="I26" i="10"/>
  <c r="G26" i="10"/>
  <c r="G26" i="11"/>
  <c r="H26" i="11"/>
  <c r="H28" i="11" s="1"/>
  <c r="N53" i="10"/>
  <c r="N55" i="10" s="1"/>
  <c r="N53" i="11"/>
  <c r="N55" i="11" s="1"/>
  <c r="M51" i="10"/>
  <c r="M58" i="10" s="1"/>
  <c r="I51" i="11"/>
  <c r="I58" i="11" s="1"/>
  <c r="T40" i="13"/>
  <c r="T36" i="13"/>
  <c r="T38" i="13"/>
  <c r="T41" i="13"/>
  <c r="T40" i="12"/>
  <c r="T38" i="14"/>
  <c r="T41" i="14"/>
  <c r="T40" i="14"/>
  <c r="T36" i="14"/>
  <c r="T40" i="15"/>
  <c r="T36" i="15"/>
  <c r="T41" i="15"/>
  <c r="T38" i="15"/>
  <c r="I51" i="10"/>
  <c r="I58" i="10" s="1"/>
  <c r="H51" i="10"/>
  <c r="H58" i="10" s="1"/>
  <c r="G51" i="10"/>
  <c r="G58" i="10" s="1"/>
  <c r="G51" i="11"/>
  <c r="G58" i="11" s="1"/>
  <c r="H51" i="11"/>
  <c r="H58" i="11" s="1"/>
  <c r="M51" i="11"/>
  <c r="M58" i="11" s="1"/>
  <c r="F51" i="11"/>
  <c r="F58" i="11" s="1"/>
  <c r="L51" i="11"/>
  <c r="L58" i="11" s="1"/>
  <c r="H61" i="11"/>
  <c r="G61" i="11"/>
  <c r="L51" i="10"/>
  <c r="L58" i="10" s="1"/>
  <c r="F51" i="10"/>
  <c r="F58" i="10" s="1"/>
  <c r="H61" i="10" l="1"/>
  <c r="G61" i="10"/>
  <c r="T36" i="12"/>
  <c r="I100" i="1"/>
  <c r="M61" i="10"/>
  <c r="I61" i="10"/>
  <c r="T38" i="12"/>
  <c r="E100" i="1"/>
  <c r="F61" i="10"/>
  <c r="I61" i="11"/>
  <c r="F61" i="11"/>
  <c r="M61" i="11"/>
  <c r="K58" i="11"/>
  <c r="K60" i="11" s="1"/>
  <c r="K53" i="11"/>
  <c r="K55" i="11" s="1"/>
  <c r="K56" i="11" s="1"/>
  <c r="J58" i="11"/>
  <c r="J60" i="11" s="1"/>
  <c r="J53" i="11"/>
  <c r="J55" i="11" s="1"/>
  <c r="J56" i="11" s="1"/>
  <c r="K61" i="11"/>
  <c r="J61" i="11"/>
  <c r="J61" i="10"/>
  <c r="K61" i="10"/>
  <c r="K58" i="10"/>
  <c r="K60" i="10" s="1"/>
  <c r="K53" i="10"/>
  <c r="K55" i="10" s="1"/>
  <c r="K56" i="10" s="1"/>
  <c r="J58" i="10"/>
  <c r="J60" i="10" s="1"/>
  <c r="J53" i="10"/>
  <c r="J55" i="10" s="1"/>
  <c r="J56" i="10" s="1"/>
  <c r="T39" i="12"/>
  <c r="L30" i="11"/>
  <c r="F114" i="1" s="1"/>
  <c r="H30" i="11"/>
  <c r="H57" i="11" s="1"/>
  <c r="H60" i="11" s="1"/>
  <c r="H63" i="11" s="1"/>
  <c r="D99" i="1" s="1"/>
  <c r="F30" i="11"/>
  <c r="B114" i="1" s="1"/>
  <c r="M28" i="11"/>
  <c r="I28" i="11"/>
  <c r="G28" i="11"/>
  <c r="L57" i="10"/>
  <c r="L60" i="10" s="1"/>
  <c r="L63" i="10" s="1"/>
  <c r="H98" i="1" s="1"/>
  <c r="L53" i="10"/>
  <c r="L55" i="10" s="1"/>
  <c r="L56" i="10" s="1"/>
  <c r="I28" i="10"/>
  <c r="I30" i="10" s="1"/>
  <c r="E113" i="1" s="1"/>
  <c r="M57" i="10"/>
  <c r="M60" i="10" s="1"/>
  <c r="M63" i="10" s="1"/>
  <c r="I98" i="1" s="1"/>
  <c r="M53" i="10"/>
  <c r="M55" i="10" s="1"/>
  <c r="M56" i="10" s="1"/>
  <c r="H57" i="10"/>
  <c r="H60" i="10" s="1"/>
  <c r="H63" i="10" s="1"/>
  <c r="D98" i="1" s="1"/>
  <c r="H53" i="10"/>
  <c r="H55" i="10" s="1"/>
  <c r="H56" i="10" s="1"/>
  <c r="F28" i="10"/>
  <c r="F30" i="10" s="1"/>
  <c r="B113" i="1" s="1"/>
  <c r="G28" i="10"/>
  <c r="G30" i="10" s="1"/>
  <c r="C113" i="1" s="1"/>
  <c r="D63" i="9"/>
  <c r="N52" i="9"/>
  <c r="N59" i="9" s="1"/>
  <c r="N51" i="9"/>
  <c r="N58" i="9" s="1"/>
  <c r="M50" i="9"/>
  <c r="L50" i="9"/>
  <c r="I50" i="9"/>
  <c r="H50" i="9"/>
  <c r="G50" i="9"/>
  <c r="F50" i="9"/>
  <c r="M49" i="9"/>
  <c r="L49" i="9"/>
  <c r="I49" i="9"/>
  <c r="H49" i="9"/>
  <c r="G49" i="9"/>
  <c r="F49" i="9"/>
  <c r="M48" i="9"/>
  <c r="L48" i="9"/>
  <c r="I48" i="9"/>
  <c r="H48" i="9"/>
  <c r="G48" i="9"/>
  <c r="F48" i="9"/>
  <c r="M47" i="9"/>
  <c r="L47" i="9"/>
  <c r="I47" i="9"/>
  <c r="H47" i="9"/>
  <c r="G47" i="9"/>
  <c r="F47" i="9"/>
  <c r="M46" i="9"/>
  <c r="L46" i="9"/>
  <c r="I46" i="9"/>
  <c r="H46" i="9"/>
  <c r="G46" i="9"/>
  <c r="F46" i="9"/>
  <c r="E44" i="9"/>
  <c r="E43" i="9"/>
  <c r="E42" i="9"/>
  <c r="S41" i="9"/>
  <c r="E41" i="9"/>
  <c r="S40" i="9"/>
  <c r="E40" i="9"/>
  <c r="S39" i="9"/>
  <c r="E39" i="9"/>
  <c r="S38" i="9"/>
  <c r="E38" i="9"/>
  <c r="S37" i="9"/>
  <c r="E37" i="9"/>
  <c r="S36" i="9"/>
  <c r="E36" i="9"/>
  <c r="E35" i="9"/>
  <c r="E34" i="9"/>
  <c r="E33" i="9"/>
  <c r="M32" i="9"/>
  <c r="L32" i="9"/>
  <c r="I32" i="9"/>
  <c r="H32" i="9"/>
  <c r="G32" i="9"/>
  <c r="F32" i="9"/>
  <c r="I25" i="9"/>
  <c r="I24" i="9"/>
  <c r="M21" i="9"/>
  <c r="L20" i="9"/>
  <c r="I19" i="9"/>
  <c r="I18" i="9"/>
  <c r="M17" i="9"/>
  <c r="L16" i="9"/>
  <c r="N15" i="9"/>
  <c r="N14" i="9"/>
  <c r="J63" i="10" l="1"/>
  <c r="F98" i="1" s="1"/>
  <c r="J63" i="11"/>
  <c r="F99" i="1" s="1"/>
  <c r="K63" i="11"/>
  <c r="G99" i="1" s="1"/>
  <c r="K63" i="10"/>
  <c r="G98" i="1" s="1"/>
  <c r="J41" i="9"/>
  <c r="K41" i="9"/>
  <c r="K42" i="9"/>
  <c r="J42" i="9"/>
  <c r="K43" i="9"/>
  <c r="J43" i="9"/>
  <c r="K40" i="9"/>
  <c r="J40" i="9"/>
  <c r="K33" i="9"/>
  <c r="J33" i="9"/>
  <c r="J44" i="9"/>
  <c r="K44" i="9"/>
  <c r="K35" i="9"/>
  <c r="J35" i="9"/>
  <c r="K37" i="9"/>
  <c r="J37" i="9"/>
  <c r="K38" i="9"/>
  <c r="J38" i="9"/>
  <c r="J39" i="9"/>
  <c r="K39" i="9"/>
  <c r="K34" i="9"/>
  <c r="J34" i="9"/>
  <c r="K36" i="9"/>
  <c r="J36" i="9"/>
  <c r="L57" i="11"/>
  <c r="L60" i="11" s="1"/>
  <c r="L63" i="11" s="1"/>
  <c r="H99" i="1" s="1"/>
  <c r="L53" i="11"/>
  <c r="L55" i="11" s="1"/>
  <c r="L56" i="11" s="1"/>
  <c r="F57" i="11"/>
  <c r="F60" i="11" s="1"/>
  <c r="F63" i="11" s="1"/>
  <c r="B99" i="1" s="1"/>
  <c r="F53" i="11"/>
  <c r="F55" i="11" s="1"/>
  <c r="F56" i="11" s="1"/>
  <c r="D114" i="1"/>
  <c r="H53" i="11"/>
  <c r="H55" i="11" s="1"/>
  <c r="H56" i="11" s="1"/>
  <c r="M30" i="11"/>
  <c r="G114" i="1" s="1"/>
  <c r="I30" i="11"/>
  <c r="I53" i="11" s="1"/>
  <c r="I55" i="11" s="1"/>
  <c r="I56" i="11" s="1"/>
  <c r="G30" i="11"/>
  <c r="C114" i="1" s="1"/>
  <c r="T39" i="11"/>
  <c r="F52" i="9"/>
  <c r="F59" i="9" s="1"/>
  <c r="L52" i="9"/>
  <c r="L59" i="9" s="1"/>
  <c r="H52" i="9"/>
  <c r="H59" i="9" s="1"/>
  <c r="I52" i="9"/>
  <c r="I59" i="9" s="1"/>
  <c r="G52" i="9"/>
  <c r="G59" i="9" s="1"/>
  <c r="M52" i="9"/>
  <c r="M59" i="9" s="1"/>
  <c r="F36" i="9"/>
  <c r="L36" i="9"/>
  <c r="I36" i="9"/>
  <c r="G36" i="9"/>
  <c r="M36" i="9"/>
  <c r="H36" i="9"/>
  <c r="F38" i="9"/>
  <c r="M38" i="9"/>
  <c r="H38" i="9"/>
  <c r="I38" i="9"/>
  <c r="L38" i="9"/>
  <c r="G38" i="9"/>
  <c r="G40" i="9"/>
  <c r="I40" i="9"/>
  <c r="F40" i="9"/>
  <c r="L40" i="9"/>
  <c r="M40" i="9"/>
  <c r="H40" i="9"/>
  <c r="L42" i="9"/>
  <c r="M42" i="9"/>
  <c r="H42" i="9"/>
  <c r="I42" i="9"/>
  <c r="F42" i="9"/>
  <c r="G42" i="9"/>
  <c r="M33" i="9"/>
  <c r="H33" i="9"/>
  <c r="F33" i="9"/>
  <c r="I33" i="9"/>
  <c r="L33" i="9"/>
  <c r="G33" i="9"/>
  <c r="L43" i="9"/>
  <c r="G43" i="9"/>
  <c r="M43" i="9"/>
  <c r="H43" i="9"/>
  <c r="I43" i="9"/>
  <c r="F43" i="9"/>
  <c r="L34" i="9"/>
  <c r="M34" i="9"/>
  <c r="H34" i="9"/>
  <c r="I34" i="9"/>
  <c r="F34" i="9"/>
  <c r="G34" i="9"/>
  <c r="H37" i="9"/>
  <c r="I37" i="9"/>
  <c r="F37" i="9"/>
  <c r="G37" i="9"/>
  <c r="M37" i="9"/>
  <c r="L37" i="9"/>
  <c r="H39" i="9"/>
  <c r="L39" i="9"/>
  <c r="G39" i="9"/>
  <c r="M39" i="9"/>
  <c r="I39" i="9"/>
  <c r="F39" i="9"/>
  <c r="H41" i="9"/>
  <c r="I41" i="9"/>
  <c r="F41" i="9"/>
  <c r="G41" i="9"/>
  <c r="M41" i="9"/>
  <c r="L41" i="9"/>
  <c r="F44" i="9"/>
  <c r="G44" i="9"/>
  <c r="I44" i="9"/>
  <c r="L44" i="9"/>
  <c r="M44" i="9"/>
  <c r="H44" i="9"/>
  <c r="H35" i="9"/>
  <c r="L35" i="9"/>
  <c r="G35" i="9"/>
  <c r="M35" i="9"/>
  <c r="I35" i="9"/>
  <c r="F35" i="9"/>
  <c r="T37" i="10"/>
  <c r="T36" i="10"/>
  <c r="T39" i="10"/>
  <c r="I57" i="10"/>
  <c r="I60" i="10" s="1"/>
  <c r="I63" i="10" s="1"/>
  <c r="E98" i="1" s="1"/>
  <c r="I53" i="10"/>
  <c r="I55" i="10" s="1"/>
  <c r="I56" i="10" s="1"/>
  <c r="F57" i="10"/>
  <c r="F60" i="10" s="1"/>
  <c r="F63" i="10" s="1"/>
  <c r="B98" i="1" s="1"/>
  <c r="F53" i="10"/>
  <c r="F55" i="10" s="1"/>
  <c r="F56" i="10" s="1"/>
  <c r="G57" i="10"/>
  <c r="G60" i="10" s="1"/>
  <c r="G63" i="10" s="1"/>
  <c r="C98" i="1" s="1"/>
  <c r="G53" i="10"/>
  <c r="G55" i="10" s="1"/>
  <c r="G56" i="10" s="1"/>
  <c r="A97" i="1"/>
  <c r="A112" i="1"/>
  <c r="H27" i="9"/>
  <c r="M18" i="9"/>
  <c r="H19" i="9"/>
  <c r="F18" i="9"/>
  <c r="M19" i="9"/>
  <c r="G19" i="9"/>
  <c r="H20" i="9"/>
  <c r="H25" i="9"/>
  <c r="L18" i="9"/>
  <c r="H24" i="9"/>
  <c r="G25" i="9"/>
  <c r="L24" i="9"/>
  <c r="N26" i="9"/>
  <c r="N30" i="9" s="1"/>
  <c r="H16" i="9"/>
  <c r="G18" i="9"/>
  <c r="F24" i="9"/>
  <c r="M24" i="9"/>
  <c r="M25" i="9"/>
  <c r="H18" i="9"/>
  <c r="G24" i="9"/>
  <c r="L27" i="9"/>
  <c r="F21" i="9"/>
  <c r="L21" i="9"/>
  <c r="G16" i="9"/>
  <c r="M16" i="9"/>
  <c r="H17" i="9"/>
  <c r="F19" i="9"/>
  <c r="L19" i="9"/>
  <c r="G20" i="9"/>
  <c r="M20" i="9"/>
  <c r="H21" i="9"/>
  <c r="F25" i="9"/>
  <c r="L25" i="9"/>
  <c r="G27" i="9"/>
  <c r="M27" i="9"/>
  <c r="I17" i="9"/>
  <c r="I21" i="9"/>
  <c r="I16" i="9"/>
  <c r="L17" i="9"/>
  <c r="I20" i="9"/>
  <c r="I27" i="9"/>
  <c r="F17" i="9"/>
  <c r="F16" i="9"/>
  <c r="G17" i="9"/>
  <c r="F20" i="9"/>
  <c r="G21" i="9"/>
  <c r="F27" i="9"/>
  <c r="K51" i="9" l="1"/>
  <c r="N53" i="9"/>
  <c r="N55" i="9" s="1"/>
  <c r="H112" i="1"/>
  <c r="J51" i="9"/>
  <c r="G57" i="11"/>
  <c r="G60" i="11" s="1"/>
  <c r="G63" i="11" s="1"/>
  <c r="L26" i="9"/>
  <c r="L28" i="9" s="1"/>
  <c r="L30" i="9" s="1"/>
  <c r="F112" i="1" s="1"/>
  <c r="M53" i="11"/>
  <c r="M55" i="11" s="1"/>
  <c r="M56" i="11" s="1"/>
  <c r="I57" i="11"/>
  <c r="I60" i="11" s="1"/>
  <c r="I63" i="11" s="1"/>
  <c r="E99" i="1" s="1"/>
  <c r="F26" i="9"/>
  <c r="I26" i="9"/>
  <c r="M57" i="11"/>
  <c r="M60" i="11" s="1"/>
  <c r="M63" i="11" s="1"/>
  <c r="I99" i="1" s="1"/>
  <c r="H26" i="9"/>
  <c r="H28" i="9" s="1"/>
  <c r="H30" i="9" s="1"/>
  <c r="D112" i="1" s="1"/>
  <c r="E114" i="1"/>
  <c r="M26" i="9"/>
  <c r="G26" i="9"/>
  <c r="G53" i="11"/>
  <c r="G55" i="11" s="1"/>
  <c r="G56" i="11" s="1"/>
  <c r="T37" i="11"/>
  <c r="T41" i="11"/>
  <c r="N57" i="9"/>
  <c r="N60" i="9" s="1"/>
  <c r="I51" i="9"/>
  <c r="I58" i="9" s="1"/>
  <c r="M51" i="9"/>
  <c r="M58" i="9" s="1"/>
  <c r="T40" i="10"/>
  <c r="T38" i="10"/>
  <c r="T41" i="10"/>
  <c r="G51" i="9"/>
  <c r="G58" i="9" s="1"/>
  <c r="H51" i="9"/>
  <c r="H58" i="9" s="1"/>
  <c r="F51" i="9"/>
  <c r="F58" i="9" s="1"/>
  <c r="L51" i="9"/>
  <c r="L58" i="9" s="1"/>
  <c r="D63" i="8"/>
  <c r="N52" i="8"/>
  <c r="N59" i="8" s="1"/>
  <c r="N51" i="8"/>
  <c r="N58" i="8" s="1"/>
  <c r="M50" i="8"/>
  <c r="L50" i="8"/>
  <c r="I50" i="8"/>
  <c r="H50" i="8"/>
  <c r="G50" i="8"/>
  <c r="F50" i="8"/>
  <c r="M49" i="8"/>
  <c r="L49" i="8"/>
  <c r="I49" i="8"/>
  <c r="H49" i="8"/>
  <c r="G49" i="8"/>
  <c r="F49" i="8"/>
  <c r="M48" i="8"/>
  <c r="L48" i="8"/>
  <c r="I48" i="8"/>
  <c r="H48" i="8"/>
  <c r="G48" i="8"/>
  <c r="F48" i="8"/>
  <c r="M47" i="8"/>
  <c r="L47" i="8"/>
  <c r="I47" i="8"/>
  <c r="H47" i="8"/>
  <c r="G47" i="8"/>
  <c r="F47" i="8"/>
  <c r="M46" i="8"/>
  <c r="L46" i="8"/>
  <c r="I46" i="8"/>
  <c r="H46" i="8"/>
  <c r="G46" i="8"/>
  <c r="F46" i="8"/>
  <c r="E44" i="8"/>
  <c r="E43" i="8"/>
  <c r="E42" i="8"/>
  <c r="S41" i="8"/>
  <c r="E41" i="8"/>
  <c r="S40" i="8"/>
  <c r="E40" i="8"/>
  <c r="S39" i="8"/>
  <c r="E39" i="8"/>
  <c r="S38" i="8"/>
  <c r="E38" i="8"/>
  <c r="S37" i="8"/>
  <c r="E37" i="8"/>
  <c r="S36" i="8"/>
  <c r="E36" i="8"/>
  <c r="E35" i="8"/>
  <c r="E34" i="8"/>
  <c r="E33" i="8"/>
  <c r="M32" i="8"/>
  <c r="L32" i="8"/>
  <c r="I32" i="8"/>
  <c r="H32" i="8"/>
  <c r="G32" i="8"/>
  <c r="F32" i="8"/>
  <c r="I25" i="8"/>
  <c r="I24" i="8"/>
  <c r="M21" i="8"/>
  <c r="L20" i="8"/>
  <c r="I19" i="8"/>
  <c r="I18" i="8"/>
  <c r="M17" i="8"/>
  <c r="L16" i="8"/>
  <c r="N15" i="8"/>
  <c r="N14" i="8"/>
  <c r="D63" i="7"/>
  <c r="N52" i="7"/>
  <c r="N59" i="7" s="1"/>
  <c r="N51" i="7"/>
  <c r="N58" i="7" s="1"/>
  <c r="M50" i="7"/>
  <c r="L50" i="7"/>
  <c r="I50" i="7"/>
  <c r="H50" i="7"/>
  <c r="G50" i="7"/>
  <c r="F50" i="7"/>
  <c r="M49" i="7"/>
  <c r="L49" i="7"/>
  <c r="I49" i="7"/>
  <c r="H49" i="7"/>
  <c r="G49" i="7"/>
  <c r="F49" i="7"/>
  <c r="M48" i="7"/>
  <c r="L48" i="7"/>
  <c r="I48" i="7"/>
  <c r="H48" i="7"/>
  <c r="G48" i="7"/>
  <c r="F48" i="7"/>
  <c r="M47" i="7"/>
  <c r="L47" i="7"/>
  <c r="I47" i="7"/>
  <c r="H47" i="7"/>
  <c r="G47" i="7"/>
  <c r="F47" i="7"/>
  <c r="M46" i="7"/>
  <c r="L46" i="7"/>
  <c r="I46" i="7"/>
  <c r="H46" i="7"/>
  <c r="G46" i="7"/>
  <c r="F46" i="7"/>
  <c r="E44" i="7"/>
  <c r="E43" i="7"/>
  <c r="E42" i="7"/>
  <c r="S41" i="7"/>
  <c r="E41" i="7"/>
  <c r="S40" i="7"/>
  <c r="E40" i="7"/>
  <c r="S39" i="7"/>
  <c r="E39" i="7"/>
  <c r="S38" i="7"/>
  <c r="E38" i="7"/>
  <c r="S37" i="7"/>
  <c r="E37" i="7"/>
  <c r="S36" i="7"/>
  <c r="E36" i="7"/>
  <c r="E35" i="7"/>
  <c r="E34" i="7"/>
  <c r="E33" i="7"/>
  <c r="M32" i="7"/>
  <c r="L32" i="7"/>
  <c r="I32" i="7"/>
  <c r="H32" i="7"/>
  <c r="G32" i="7"/>
  <c r="F32" i="7"/>
  <c r="I25" i="7"/>
  <c r="H24" i="7"/>
  <c r="M21" i="7"/>
  <c r="L20" i="7"/>
  <c r="I19" i="7"/>
  <c r="H18" i="7"/>
  <c r="M17" i="7"/>
  <c r="L16" i="7"/>
  <c r="N15" i="7"/>
  <c r="N14" i="7"/>
  <c r="D63" i="6"/>
  <c r="N52" i="6"/>
  <c r="N59" i="6" s="1"/>
  <c r="N51" i="6"/>
  <c r="N58" i="6" s="1"/>
  <c r="M50" i="6"/>
  <c r="L50" i="6"/>
  <c r="K50" i="6"/>
  <c r="H50" i="6"/>
  <c r="G50" i="6"/>
  <c r="F50" i="6"/>
  <c r="M49" i="6"/>
  <c r="L49" i="6"/>
  <c r="K49" i="6"/>
  <c r="H49" i="6"/>
  <c r="G49" i="6"/>
  <c r="F49" i="6"/>
  <c r="M48" i="6"/>
  <c r="L48" i="6"/>
  <c r="K48" i="6"/>
  <c r="H48" i="6"/>
  <c r="G48" i="6"/>
  <c r="F48" i="6"/>
  <c r="M47" i="6"/>
  <c r="L47" i="6"/>
  <c r="K47" i="6"/>
  <c r="H47" i="6"/>
  <c r="G47" i="6"/>
  <c r="F47" i="6"/>
  <c r="M46" i="6"/>
  <c r="L46" i="6"/>
  <c r="K46" i="6"/>
  <c r="H46" i="6"/>
  <c r="G46" i="6"/>
  <c r="F46" i="6"/>
  <c r="E44" i="6"/>
  <c r="E43" i="6"/>
  <c r="E42" i="6"/>
  <c r="S41" i="6"/>
  <c r="E41" i="6"/>
  <c r="S40" i="6"/>
  <c r="E40" i="6"/>
  <c r="S39" i="6"/>
  <c r="E39" i="6"/>
  <c r="S38" i="6"/>
  <c r="E38" i="6"/>
  <c r="S37" i="6"/>
  <c r="E37" i="6"/>
  <c r="S36" i="6"/>
  <c r="E36" i="6"/>
  <c r="E35" i="6"/>
  <c r="E34" i="6"/>
  <c r="E33" i="6"/>
  <c r="M32" i="6"/>
  <c r="L32" i="6"/>
  <c r="K32" i="6"/>
  <c r="H32" i="6"/>
  <c r="G32" i="6"/>
  <c r="F32" i="6"/>
  <c r="K25" i="6"/>
  <c r="K24" i="6"/>
  <c r="M21" i="6"/>
  <c r="L20" i="6"/>
  <c r="K19" i="6"/>
  <c r="K18" i="6"/>
  <c r="M17" i="6"/>
  <c r="L16" i="6"/>
  <c r="N15" i="6"/>
  <c r="N14" i="6"/>
  <c r="D63" i="5"/>
  <c r="N52" i="5"/>
  <c r="N59" i="5" s="1"/>
  <c r="N51" i="5"/>
  <c r="N58" i="5" s="1"/>
  <c r="M50" i="5"/>
  <c r="L50" i="5"/>
  <c r="K50" i="5"/>
  <c r="H50" i="5"/>
  <c r="G50" i="5"/>
  <c r="F50" i="5"/>
  <c r="M49" i="5"/>
  <c r="L49" i="5"/>
  <c r="K49" i="5"/>
  <c r="H49" i="5"/>
  <c r="G49" i="5"/>
  <c r="F49" i="5"/>
  <c r="M48" i="5"/>
  <c r="L48" i="5"/>
  <c r="K48" i="5"/>
  <c r="H48" i="5"/>
  <c r="G48" i="5"/>
  <c r="F48" i="5"/>
  <c r="M47" i="5"/>
  <c r="L47" i="5"/>
  <c r="K47" i="5"/>
  <c r="H47" i="5"/>
  <c r="G47" i="5"/>
  <c r="F47" i="5"/>
  <c r="M46" i="5"/>
  <c r="L46" i="5"/>
  <c r="K46" i="5"/>
  <c r="H46" i="5"/>
  <c r="G46" i="5"/>
  <c r="F46" i="5"/>
  <c r="E44" i="5"/>
  <c r="E43" i="5"/>
  <c r="E42" i="5"/>
  <c r="S41" i="5"/>
  <c r="E41" i="5"/>
  <c r="S40" i="5"/>
  <c r="E40" i="5"/>
  <c r="S39" i="5"/>
  <c r="E39" i="5"/>
  <c r="S38" i="5"/>
  <c r="E38" i="5"/>
  <c r="S37" i="5"/>
  <c r="E37" i="5"/>
  <c r="S36" i="5"/>
  <c r="E36" i="5"/>
  <c r="E35" i="5"/>
  <c r="E34" i="5"/>
  <c r="E33" i="5"/>
  <c r="M32" i="5"/>
  <c r="L32" i="5"/>
  <c r="K32" i="5"/>
  <c r="H32" i="5"/>
  <c r="G32" i="5"/>
  <c r="F32" i="5"/>
  <c r="K25" i="5"/>
  <c r="K24" i="5"/>
  <c r="M21" i="5"/>
  <c r="L20" i="5"/>
  <c r="K19" i="5"/>
  <c r="K18" i="5"/>
  <c r="M17" i="5"/>
  <c r="L16" i="5"/>
  <c r="N15" i="5"/>
  <c r="N14" i="5"/>
  <c r="D63" i="2"/>
  <c r="I48" i="2"/>
  <c r="N52" i="2"/>
  <c r="N59" i="2" s="1"/>
  <c r="N51" i="2"/>
  <c r="N58" i="2" s="1"/>
  <c r="M50" i="2"/>
  <c r="L50" i="2"/>
  <c r="I50" i="2"/>
  <c r="H50" i="2"/>
  <c r="G50" i="2"/>
  <c r="F50" i="2"/>
  <c r="M49" i="2"/>
  <c r="L49" i="2"/>
  <c r="I49" i="2"/>
  <c r="H49" i="2"/>
  <c r="G49" i="2"/>
  <c r="F49" i="2"/>
  <c r="M48" i="2"/>
  <c r="L48" i="2"/>
  <c r="H48" i="2"/>
  <c r="G48" i="2"/>
  <c r="F48" i="2"/>
  <c r="M47" i="2"/>
  <c r="L47" i="2"/>
  <c r="I47" i="2"/>
  <c r="H47" i="2"/>
  <c r="G47" i="2"/>
  <c r="F47" i="2"/>
  <c r="M46" i="2"/>
  <c r="L46" i="2"/>
  <c r="I46" i="2"/>
  <c r="H46" i="2"/>
  <c r="G46" i="2"/>
  <c r="F46" i="2"/>
  <c r="E44" i="2"/>
  <c r="E43" i="2"/>
  <c r="E42" i="2"/>
  <c r="S41" i="2"/>
  <c r="E41" i="2"/>
  <c r="S40" i="2"/>
  <c r="E40" i="2"/>
  <c r="S39" i="2"/>
  <c r="E39" i="2"/>
  <c r="S38" i="2"/>
  <c r="E38" i="2"/>
  <c r="S37" i="2"/>
  <c r="E37" i="2"/>
  <c r="S36" i="2"/>
  <c r="E36" i="2"/>
  <c r="E35" i="2"/>
  <c r="E34" i="2"/>
  <c r="E33" i="2"/>
  <c r="M32" i="2"/>
  <c r="L32" i="2"/>
  <c r="I32" i="2"/>
  <c r="H32" i="2"/>
  <c r="G32" i="2"/>
  <c r="F32" i="2"/>
  <c r="L25" i="2"/>
  <c r="I24" i="2"/>
  <c r="H21" i="2"/>
  <c r="M20" i="2"/>
  <c r="L19" i="2"/>
  <c r="I18" i="2"/>
  <c r="H17" i="2"/>
  <c r="M16" i="2"/>
  <c r="N15" i="2"/>
  <c r="N14" i="2"/>
  <c r="J33" i="2" l="1"/>
  <c r="J51" i="2" s="1"/>
  <c r="K33" i="2"/>
  <c r="K51" i="2" s="1"/>
  <c r="T40" i="11"/>
  <c r="C99" i="1"/>
  <c r="L61" i="9"/>
  <c r="K61" i="9"/>
  <c r="J61" i="9"/>
  <c r="J58" i="9"/>
  <c r="J60" i="9" s="1"/>
  <c r="J53" i="9"/>
  <c r="J55" i="9" s="1"/>
  <c r="J56" i="9" s="1"/>
  <c r="K58" i="9"/>
  <c r="K60" i="9" s="1"/>
  <c r="K63" i="9" s="1"/>
  <c r="G97" i="1" s="1"/>
  <c r="K53" i="9"/>
  <c r="K55" i="9" s="1"/>
  <c r="K56" i="9" s="1"/>
  <c r="K42" i="8"/>
  <c r="J42" i="8"/>
  <c r="K36" i="8"/>
  <c r="J36" i="8"/>
  <c r="K33" i="8"/>
  <c r="J33" i="8"/>
  <c r="K37" i="8"/>
  <c r="J37" i="8"/>
  <c r="K38" i="8"/>
  <c r="J38" i="8"/>
  <c r="K35" i="8"/>
  <c r="J35" i="8"/>
  <c r="K39" i="8"/>
  <c r="J39" i="8"/>
  <c r="K43" i="8"/>
  <c r="J43" i="8"/>
  <c r="K40" i="8"/>
  <c r="J40" i="8"/>
  <c r="K44" i="8"/>
  <c r="J44" i="8"/>
  <c r="K34" i="8"/>
  <c r="J34" i="8"/>
  <c r="K41" i="8"/>
  <c r="J41" i="8"/>
  <c r="K37" i="7"/>
  <c r="J37" i="7"/>
  <c r="K38" i="7"/>
  <c r="J38" i="7"/>
  <c r="J39" i="7"/>
  <c r="K39" i="7"/>
  <c r="K40" i="7"/>
  <c r="J40" i="7"/>
  <c r="K36" i="7"/>
  <c r="J36" i="7"/>
  <c r="K41" i="7"/>
  <c r="J41" i="7"/>
  <c r="K42" i="7"/>
  <c r="J42" i="7"/>
  <c r="K35" i="7"/>
  <c r="J35" i="7"/>
  <c r="K33" i="7"/>
  <c r="J33" i="7"/>
  <c r="K43" i="7"/>
  <c r="J43" i="7"/>
  <c r="K34" i="7"/>
  <c r="J34" i="7"/>
  <c r="K44" i="7"/>
  <c r="J44" i="7"/>
  <c r="J38" i="6"/>
  <c r="I38" i="6"/>
  <c r="J40" i="6"/>
  <c r="I40" i="6"/>
  <c r="J41" i="6"/>
  <c r="I41" i="6"/>
  <c r="J42" i="6"/>
  <c r="I42" i="6"/>
  <c r="J35" i="6"/>
  <c r="I35" i="6"/>
  <c r="I39" i="6"/>
  <c r="J39" i="6"/>
  <c r="J44" i="6"/>
  <c r="I44" i="6"/>
  <c r="J36" i="6"/>
  <c r="I36" i="6"/>
  <c r="J43" i="6"/>
  <c r="I43" i="6"/>
  <c r="J33" i="6"/>
  <c r="I33" i="6"/>
  <c r="J37" i="6"/>
  <c r="I37" i="6"/>
  <c r="J34" i="6"/>
  <c r="I34" i="6"/>
  <c r="J39" i="5"/>
  <c r="I39" i="5"/>
  <c r="J40" i="5"/>
  <c r="I40" i="5"/>
  <c r="J33" i="5"/>
  <c r="I33" i="5"/>
  <c r="J44" i="5"/>
  <c r="I44" i="5"/>
  <c r="I35" i="5"/>
  <c r="J35" i="5"/>
  <c r="J42" i="5"/>
  <c r="I42" i="5"/>
  <c r="I43" i="5"/>
  <c r="J43" i="5"/>
  <c r="J36" i="5"/>
  <c r="I36" i="5"/>
  <c r="I34" i="5"/>
  <c r="J34" i="5"/>
  <c r="J41" i="5"/>
  <c r="I41" i="5"/>
  <c r="J37" i="5"/>
  <c r="I37" i="5"/>
  <c r="I38" i="5"/>
  <c r="J38" i="5"/>
  <c r="T38" i="11"/>
  <c r="T36" i="11"/>
  <c r="H61" i="9"/>
  <c r="I61" i="9"/>
  <c r="F61" i="9"/>
  <c r="G61" i="9"/>
  <c r="G52" i="5"/>
  <c r="G59" i="5" s="1"/>
  <c r="M61" i="9"/>
  <c r="L27" i="6"/>
  <c r="H52" i="6"/>
  <c r="H59" i="6" s="1"/>
  <c r="H52" i="7"/>
  <c r="H59" i="7" s="1"/>
  <c r="G52" i="7"/>
  <c r="G59" i="7" s="1"/>
  <c r="F52" i="5"/>
  <c r="F59" i="5" s="1"/>
  <c r="L52" i="5"/>
  <c r="L59" i="5" s="1"/>
  <c r="L52" i="6"/>
  <c r="L59" i="6" s="1"/>
  <c r="F52" i="7"/>
  <c r="F59" i="7" s="1"/>
  <c r="L52" i="7"/>
  <c r="L59" i="7" s="1"/>
  <c r="F52" i="8"/>
  <c r="F59" i="8" s="1"/>
  <c r="L52" i="8"/>
  <c r="L59" i="8" s="1"/>
  <c r="I52" i="8"/>
  <c r="I59" i="8" s="1"/>
  <c r="M52" i="7"/>
  <c r="M59" i="7" s="1"/>
  <c r="M52" i="5"/>
  <c r="M59" i="5" s="1"/>
  <c r="H52" i="8"/>
  <c r="H59" i="8" s="1"/>
  <c r="I52" i="7"/>
  <c r="I59" i="7" s="1"/>
  <c r="K52" i="6"/>
  <c r="K59" i="6" s="1"/>
  <c r="G52" i="6"/>
  <c r="G59" i="6" s="1"/>
  <c r="F52" i="6"/>
  <c r="F59" i="6" s="1"/>
  <c r="H52" i="5"/>
  <c r="H59" i="5" s="1"/>
  <c r="K52" i="5"/>
  <c r="K59" i="5" s="1"/>
  <c r="K27" i="5"/>
  <c r="H27" i="7"/>
  <c r="L27" i="8"/>
  <c r="G52" i="8"/>
  <c r="G59" i="8" s="1"/>
  <c r="M52" i="8"/>
  <c r="M59" i="8" s="1"/>
  <c r="M52" i="6"/>
  <c r="M59" i="6" s="1"/>
  <c r="A111" i="1"/>
  <c r="A96" i="1"/>
  <c r="A92" i="1"/>
  <c r="A107" i="1"/>
  <c r="I41" i="8"/>
  <c r="F41" i="8"/>
  <c r="L41" i="8"/>
  <c r="G41" i="8"/>
  <c r="M41" i="8"/>
  <c r="H41" i="8"/>
  <c r="F36" i="8"/>
  <c r="L36" i="8"/>
  <c r="I36" i="8"/>
  <c r="G36" i="8"/>
  <c r="M36" i="8"/>
  <c r="H36" i="8"/>
  <c r="F38" i="8"/>
  <c r="M38" i="8"/>
  <c r="H38" i="8"/>
  <c r="I38" i="8"/>
  <c r="L38" i="8"/>
  <c r="G38" i="8"/>
  <c r="F40" i="8"/>
  <c r="G40" i="8"/>
  <c r="I40" i="8"/>
  <c r="L40" i="8"/>
  <c r="M40" i="8"/>
  <c r="H40" i="8"/>
  <c r="L42" i="8"/>
  <c r="M42" i="8"/>
  <c r="I42" i="8"/>
  <c r="F42" i="8"/>
  <c r="G42" i="8"/>
  <c r="H42" i="8"/>
  <c r="L33" i="8"/>
  <c r="M33" i="8"/>
  <c r="H33" i="8"/>
  <c r="F33" i="8"/>
  <c r="I33" i="8"/>
  <c r="G33" i="8"/>
  <c r="F43" i="8"/>
  <c r="G43" i="8"/>
  <c r="M43" i="8"/>
  <c r="H43" i="8"/>
  <c r="I43" i="8"/>
  <c r="L43" i="8"/>
  <c r="L34" i="8"/>
  <c r="I34" i="8"/>
  <c r="F34" i="8"/>
  <c r="G34" i="8"/>
  <c r="M34" i="8"/>
  <c r="H34" i="8"/>
  <c r="H37" i="8"/>
  <c r="I37" i="8"/>
  <c r="F37" i="8"/>
  <c r="G37" i="8"/>
  <c r="M37" i="8"/>
  <c r="L37" i="8"/>
  <c r="L44" i="8"/>
  <c r="G44" i="8"/>
  <c r="H44" i="8"/>
  <c r="I44" i="8"/>
  <c r="F44" i="8"/>
  <c r="M44" i="8"/>
  <c r="L39" i="8"/>
  <c r="G39" i="8"/>
  <c r="M39" i="8"/>
  <c r="H39" i="8"/>
  <c r="I39" i="8"/>
  <c r="F39" i="8"/>
  <c r="H35" i="8"/>
  <c r="I35" i="8"/>
  <c r="F35" i="8"/>
  <c r="G35" i="8"/>
  <c r="M35" i="8"/>
  <c r="L35" i="8"/>
  <c r="L34" i="7"/>
  <c r="H34" i="7"/>
  <c r="I34" i="7"/>
  <c r="F34" i="7"/>
  <c r="G34" i="7"/>
  <c r="M34" i="7"/>
  <c r="H37" i="7"/>
  <c r="I37" i="7"/>
  <c r="F37" i="7"/>
  <c r="G37" i="7"/>
  <c r="M37" i="7"/>
  <c r="L37" i="7"/>
  <c r="L39" i="7"/>
  <c r="G39" i="7"/>
  <c r="M39" i="7"/>
  <c r="H39" i="7"/>
  <c r="I39" i="7"/>
  <c r="F39" i="7"/>
  <c r="I41" i="7"/>
  <c r="F41" i="7"/>
  <c r="G41" i="7"/>
  <c r="M41" i="7"/>
  <c r="H41" i="7"/>
  <c r="L41" i="7"/>
  <c r="F44" i="7"/>
  <c r="G44" i="7"/>
  <c r="I44" i="7"/>
  <c r="L44" i="7"/>
  <c r="M44" i="7"/>
  <c r="H44" i="7"/>
  <c r="F36" i="7"/>
  <c r="L36" i="7"/>
  <c r="I36" i="7"/>
  <c r="G36" i="7"/>
  <c r="M36" i="7"/>
  <c r="H36" i="7"/>
  <c r="F38" i="7"/>
  <c r="L38" i="7"/>
  <c r="M38" i="7"/>
  <c r="H38" i="7"/>
  <c r="I38" i="7"/>
  <c r="G38" i="7"/>
  <c r="F40" i="7"/>
  <c r="G40" i="7"/>
  <c r="I40" i="7"/>
  <c r="L40" i="7"/>
  <c r="M40" i="7"/>
  <c r="H40" i="7"/>
  <c r="F42" i="7"/>
  <c r="M42" i="7"/>
  <c r="H42" i="7"/>
  <c r="I42" i="7"/>
  <c r="L42" i="7"/>
  <c r="G42" i="7"/>
  <c r="H35" i="7"/>
  <c r="I35" i="7"/>
  <c r="L35" i="7"/>
  <c r="G35" i="7"/>
  <c r="M35" i="7"/>
  <c r="F35" i="7"/>
  <c r="G33" i="7"/>
  <c r="H33" i="7"/>
  <c r="F33" i="7"/>
  <c r="I33" i="7"/>
  <c r="L33" i="7"/>
  <c r="M33" i="7"/>
  <c r="L43" i="7"/>
  <c r="G43" i="7"/>
  <c r="M43" i="7"/>
  <c r="H43" i="7"/>
  <c r="I43" i="7"/>
  <c r="F43" i="7"/>
  <c r="F43" i="6"/>
  <c r="G43" i="6"/>
  <c r="M43" i="6"/>
  <c r="H43" i="6"/>
  <c r="K43" i="6"/>
  <c r="L43" i="6"/>
  <c r="K34" i="6"/>
  <c r="F34" i="6"/>
  <c r="L34" i="6"/>
  <c r="G34" i="6"/>
  <c r="M34" i="6"/>
  <c r="H34" i="6"/>
  <c r="H37" i="6"/>
  <c r="K37" i="6"/>
  <c r="L37" i="6"/>
  <c r="G37" i="6"/>
  <c r="M37" i="6"/>
  <c r="F37" i="6"/>
  <c r="F39" i="6"/>
  <c r="G39" i="6"/>
  <c r="M39" i="6"/>
  <c r="H39" i="6"/>
  <c r="K39" i="6"/>
  <c r="L39" i="6"/>
  <c r="K41" i="6"/>
  <c r="L41" i="6"/>
  <c r="G41" i="6"/>
  <c r="M41" i="6"/>
  <c r="H41" i="6"/>
  <c r="F41" i="6"/>
  <c r="F44" i="6"/>
  <c r="G44" i="6"/>
  <c r="H44" i="6"/>
  <c r="K44" i="6"/>
  <c r="L44" i="6"/>
  <c r="M44" i="6"/>
  <c r="H35" i="6"/>
  <c r="K35" i="6"/>
  <c r="F35" i="6"/>
  <c r="G35" i="6"/>
  <c r="M35" i="6"/>
  <c r="L35" i="6"/>
  <c r="F36" i="6"/>
  <c r="L36" i="6"/>
  <c r="H36" i="6"/>
  <c r="K36" i="6"/>
  <c r="G36" i="6"/>
  <c r="M36" i="6"/>
  <c r="F38" i="6"/>
  <c r="M38" i="6"/>
  <c r="K38" i="6"/>
  <c r="L38" i="6"/>
  <c r="G38" i="6"/>
  <c r="H38" i="6"/>
  <c r="F40" i="6"/>
  <c r="G40" i="6"/>
  <c r="H40" i="6"/>
  <c r="K40" i="6"/>
  <c r="L40" i="6"/>
  <c r="M40" i="6"/>
  <c r="F42" i="6"/>
  <c r="M42" i="6"/>
  <c r="K42" i="6"/>
  <c r="L42" i="6"/>
  <c r="G42" i="6"/>
  <c r="H42" i="6"/>
  <c r="K33" i="6"/>
  <c r="L33" i="6"/>
  <c r="G33" i="6"/>
  <c r="H33" i="6"/>
  <c r="F33" i="6"/>
  <c r="M33" i="6"/>
  <c r="L42" i="5"/>
  <c r="G42" i="5"/>
  <c r="K42" i="5"/>
  <c r="F42" i="5"/>
  <c r="M42" i="5"/>
  <c r="H42" i="5"/>
  <c r="L34" i="5"/>
  <c r="H34" i="5"/>
  <c r="K34" i="5"/>
  <c r="F34" i="5"/>
  <c r="G34" i="5"/>
  <c r="M34" i="5"/>
  <c r="H37" i="5"/>
  <c r="L37" i="5"/>
  <c r="G37" i="5"/>
  <c r="M37" i="5"/>
  <c r="K37" i="5"/>
  <c r="F37" i="5"/>
  <c r="K39" i="5"/>
  <c r="F39" i="5"/>
  <c r="G39" i="5"/>
  <c r="M39" i="5"/>
  <c r="H39" i="5"/>
  <c r="L39" i="5"/>
  <c r="L41" i="5"/>
  <c r="G41" i="5"/>
  <c r="M41" i="5"/>
  <c r="H41" i="5"/>
  <c r="K41" i="5"/>
  <c r="F41" i="5"/>
  <c r="F44" i="5"/>
  <c r="H44" i="5"/>
  <c r="K44" i="5"/>
  <c r="L44" i="5"/>
  <c r="G44" i="5"/>
  <c r="M44" i="5"/>
  <c r="F36" i="5"/>
  <c r="L36" i="5"/>
  <c r="G36" i="5"/>
  <c r="K36" i="5"/>
  <c r="M36" i="5"/>
  <c r="H36" i="5"/>
  <c r="H35" i="5"/>
  <c r="L35" i="5"/>
  <c r="G35" i="5"/>
  <c r="M35" i="5"/>
  <c r="K35" i="5"/>
  <c r="F35" i="5"/>
  <c r="L40" i="5"/>
  <c r="M40" i="5"/>
  <c r="H40" i="5"/>
  <c r="K40" i="5"/>
  <c r="F40" i="5"/>
  <c r="G40" i="5"/>
  <c r="L38" i="5"/>
  <c r="G38" i="5"/>
  <c r="K38" i="5"/>
  <c r="F38" i="5"/>
  <c r="M38" i="5"/>
  <c r="H38" i="5"/>
  <c r="K43" i="5"/>
  <c r="F43" i="5"/>
  <c r="G43" i="5"/>
  <c r="M43" i="5"/>
  <c r="H43" i="5"/>
  <c r="L43" i="5"/>
  <c r="M33" i="5"/>
  <c r="H33" i="5"/>
  <c r="F33" i="5"/>
  <c r="K33" i="5"/>
  <c r="L33" i="5"/>
  <c r="G33" i="5"/>
  <c r="L33" i="2"/>
  <c r="G33" i="2"/>
  <c r="M33" i="2"/>
  <c r="H33" i="2"/>
  <c r="I33" i="2"/>
  <c r="F42" i="2"/>
  <c r="L42" i="2"/>
  <c r="G42" i="2"/>
  <c r="M42" i="2"/>
  <c r="I42" i="2"/>
  <c r="H42" i="2"/>
  <c r="H43" i="2"/>
  <c r="L43" i="2"/>
  <c r="I43" i="2"/>
  <c r="F43" i="2"/>
  <c r="G43" i="2"/>
  <c r="M43" i="2"/>
  <c r="F44" i="2"/>
  <c r="L44" i="2"/>
  <c r="G44" i="2"/>
  <c r="M44" i="2"/>
  <c r="I44" i="2"/>
  <c r="H44" i="2"/>
  <c r="F39" i="2"/>
  <c r="G39" i="2"/>
  <c r="M39" i="2"/>
  <c r="H39" i="2"/>
  <c r="I39" i="2"/>
  <c r="L39" i="2"/>
  <c r="I40" i="2"/>
  <c r="F40" i="2"/>
  <c r="L40" i="2"/>
  <c r="G40" i="2"/>
  <c r="M40" i="2"/>
  <c r="H40" i="2"/>
  <c r="G41" i="2"/>
  <c r="M41" i="2"/>
  <c r="H41" i="2"/>
  <c r="I41" i="2"/>
  <c r="F41" i="2"/>
  <c r="L41" i="2"/>
  <c r="I36" i="2"/>
  <c r="F36" i="2"/>
  <c r="L36" i="2"/>
  <c r="G36" i="2"/>
  <c r="M36" i="2"/>
  <c r="H36" i="2"/>
  <c r="M38" i="2"/>
  <c r="I38" i="2"/>
  <c r="F38" i="2"/>
  <c r="L38" i="2"/>
  <c r="G38" i="2"/>
  <c r="H38" i="2"/>
  <c r="F37" i="2"/>
  <c r="G37" i="2"/>
  <c r="M37" i="2"/>
  <c r="H37" i="2"/>
  <c r="I37" i="2"/>
  <c r="L37" i="2"/>
  <c r="G35" i="2"/>
  <c r="M35" i="2"/>
  <c r="H35" i="2"/>
  <c r="I35" i="2"/>
  <c r="F35" i="2"/>
  <c r="L35" i="2"/>
  <c r="L34" i="2"/>
  <c r="G34" i="2"/>
  <c r="M34" i="2"/>
  <c r="H34" i="2"/>
  <c r="I34" i="2"/>
  <c r="F34" i="2"/>
  <c r="F33" i="2"/>
  <c r="M19" i="5"/>
  <c r="G19" i="5"/>
  <c r="M19" i="6"/>
  <c r="F18" i="8"/>
  <c r="M18" i="6"/>
  <c r="G19" i="8"/>
  <c r="N26" i="6"/>
  <c r="N30" i="6" s="1"/>
  <c r="N26" i="5"/>
  <c r="N30" i="5" s="1"/>
  <c r="N26" i="7"/>
  <c r="N30" i="7" s="1"/>
  <c r="N26" i="8"/>
  <c r="N30" i="8" s="1"/>
  <c r="L57" i="9"/>
  <c r="L60" i="9" s="1"/>
  <c r="L53" i="9"/>
  <c r="L55" i="9" s="1"/>
  <c r="L56" i="9" s="1"/>
  <c r="H57" i="9"/>
  <c r="H60" i="9" s="1"/>
  <c r="H53" i="9"/>
  <c r="H55" i="9" s="1"/>
  <c r="H56" i="9" s="1"/>
  <c r="G28" i="9"/>
  <c r="G30" i="9" s="1"/>
  <c r="C112" i="1" s="1"/>
  <c r="I28" i="9"/>
  <c r="I30" i="9" s="1"/>
  <c r="E112" i="1" s="1"/>
  <c r="M28" i="9"/>
  <c r="M30" i="9" s="1"/>
  <c r="G112" i="1" s="1"/>
  <c r="F28" i="9"/>
  <c r="F30" i="9" s="1"/>
  <c r="B112" i="1" s="1"/>
  <c r="H16" i="5"/>
  <c r="F21" i="7"/>
  <c r="H20" i="8"/>
  <c r="G25" i="6"/>
  <c r="G18" i="8"/>
  <c r="M19" i="8"/>
  <c r="F17" i="7"/>
  <c r="H18" i="8"/>
  <c r="H27" i="8"/>
  <c r="I27" i="7"/>
  <c r="H27" i="6"/>
  <c r="L27" i="5"/>
  <c r="L27" i="7"/>
  <c r="F27" i="7"/>
  <c r="M27" i="7"/>
  <c r="G27" i="7"/>
  <c r="H27" i="5"/>
  <c r="F27" i="5"/>
  <c r="A94" i="1"/>
  <c r="A109" i="1"/>
  <c r="A95" i="1"/>
  <c r="A110" i="1"/>
  <c r="A93" i="1"/>
  <c r="A108" i="1"/>
  <c r="H20" i="5"/>
  <c r="F18" i="6"/>
  <c r="H19" i="6"/>
  <c r="H25" i="6"/>
  <c r="M18" i="8"/>
  <c r="G24" i="8"/>
  <c r="G19" i="6"/>
  <c r="H20" i="6"/>
  <c r="H27" i="2"/>
  <c r="G18" i="5"/>
  <c r="G24" i="5"/>
  <c r="H18" i="6"/>
  <c r="G24" i="6"/>
  <c r="M16" i="7"/>
  <c r="L17" i="7"/>
  <c r="H19" i="7"/>
  <c r="M20" i="7"/>
  <c r="L21" i="7"/>
  <c r="H25" i="7"/>
  <c r="L24" i="8"/>
  <c r="H25" i="8"/>
  <c r="H18" i="5"/>
  <c r="H24" i="5"/>
  <c r="L18" i="6"/>
  <c r="H24" i="6"/>
  <c r="L19" i="7"/>
  <c r="L25" i="7"/>
  <c r="H16" i="8"/>
  <c r="F24" i="8"/>
  <c r="M24" i="8"/>
  <c r="M25" i="8"/>
  <c r="L24" i="6"/>
  <c r="L18" i="5"/>
  <c r="L24" i="5"/>
  <c r="F18" i="5"/>
  <c r="M18" i="5"/>
  <c r="F24" i="5"/>
  <c r="M24" i="5"/>
  <c r="H16" i="6"/>
  <c r="G18" i="6"/>
  <c r="F24" i="6"/>
  <c r="M24" i="6"/>
  <c r="M25" i="6"/>
  <c r="G16" i="7"/>
  <c r="H17" i="7"/>
  <c r="F19" i="7"/>
  <c r="G20" i="7"/>
  <c r="H21" i="7"/>
  <c r="F25" i="7"/>
  <c r="L18" i="8"/>
  <c r="H19" i="8"/>
  <c r="H24" i="8"/>
  <c r="G25" i="8"/>
  <c r="G16" i="8"/>
  <c r="M16" i="8"/>
  <c r="H17" i="8"/>
  <c r="F19" i="8"/>
  <c r="L19" i="8"/>
  <c r="G20" i="8"/>
  <c r="M20" i="8"/>
  <c r="H21" i="8"/>
  <c r="F25" i="8"/>
  <c r="L25" i="8"/>
  <c r="G27" i="8"/>
  <c r="M27" i="8"/>
  <c r="I17" i="8"/>
  <c r="I21" i="8"/>
  <c r="I16" i="8"/>
  <c r="F17" i="8"/>
  <c r="L17" i="8"/>
  <c r="I20" i="8"/>
  <c r="F21" i="8"/>
  <c r="L21" i="8"/>
  <c r="I27" i="8"/>
  <c r="F16" i="8"/>
  <c r="G17" i="8"/>
  <c r="F20" i="8"/>
  <c r="G21" i="8"/>
  <c r="F27" i="8"/>
  <c r="I18" i="7"/>
  <c r="H16" i="7"/>
  <c r="I17" i="7"/>
  <c r="F18" i="7"/>
  <c r="L18" i="7"/>
  <c r="G19" i="7"/>
  <c r="M19" i="7"/>
  <c r="H20" i="7"/>
  <c r="I21" i="7"/>
  <c r="F24" i="7"/>
  <c r="L24" i="7"/>
  <c r="G25" i="7"/>
  <c r="M25" i="7"/>
  <c r="I16" i="7"/>
  <c r="G18" i="7"/>
  <c r="M18" i="7"/>
  <c r="I20" i="7"/>
  <c r="G24" i="7"/>
  <c r="M24" i="7"/>
  <c r="I24" i="7"/>
  <c r="F16" i="7"/>
  <c r="G17" i="7"/>
  <c r="F20" i="7"/>
  <c r="G21" i="7"/>
  <c r="G16" i="6"/>
  <c r="M16" i="6"/>
  <c r="H17" i="6"/>
  <c r="F19" i="6"/>
  <c r="L19" i="6"/>
  <c r="G20" i="6"/>
  <c r="M20" i="6"/>
  <c r="H21" i="6"/>
  <c r="F25" i="6"/>
  <c r="L25" i="6"/>
  <c r="G27" i="6"/>
  <c r="M27" i="6"/>
  <c r="K17" i="6"/>
  <c r="K21" i="6"/>
  <c r="K16" i="6"/>
  <c r="F17" i="6"/>
  <c r="L17" i="6"/>
  <c r="K20" i="6"/>
  <c r="F21" i="6"/>
  <c r="L21" i="6"/>
  <c r="K27" i="6"/>
  <c r="F16" i="6"/>
  <c r="G17" i="6"/>
  <c r="F20" i="6"/>
  <c r="G21" i="6"/>
  <c r="F27" i="6"/>
  <c r="G16" i="5"/>
  <c r="M16" i="5"/>
  <c r="H17" i="5"/>
  <c r="F19" i="5"/>
  <c r="L19" i="5"/>
  <c r="G20" i="5"/>
  <c r="M20" i="5"/>
  <c r="H21" i="5"/>
  <c r="F25" i="5"/>
  <c r="L25" i="5"/>
  <c r="G27" i="5"/>
  <c r="M27" i="5"/>
  <c r="K17" i="5"/>
  <c r="K21" i="5"/>
  <c r="G25" i="5"/>
  <c r="M25" i="5"/>
  <c r="K16" i="5"/>
  <c r="F17" i="5"/>
  <c r="L17" i="5"/>
  <c r="H19" i="5"/>
  <c r="K20" i="5"/>
  <c r="F21" i="5"/>
  <c r="L21" i="5"/>
  <c r="H25" i="5"/>
  <c r="F16" i="5"/>
  <c r="G17" i="5"/>
  <c r="F20" i="5"/>
  <c r="G21" i="5"/>
  <c r="F52" i="2"/>
  <c r="F59" i="2" s="1"/>
  <c r="L52" i="2"/>
  <c r="L59" i="2" s="1"/>
  <c r="G24" i="2"/>
  <c r="H24" i="2"/>
  <c r="F27" i="2"/>
  <c r="I52" i="2"/>
  <c r="I59" i="2" s="1"/>
  <c r="H20" i="2"/>
  <c r="L16" i="2"/>
  <c r="G21" i="2"/>
  <c r="F20" i="2"/>
  <c r="M21" i="2"/>
  <c r="N26" i="2"/>
  <c r="N30" i="2" s="1"/>
  <c r="H107" i="1" s="1"/>
  <c r="F18" i="2"/>
  <c r="M18" i="2"/>
  <c r="F16" i="2"/>
  <c r="M17" i="2"/>
  <c r="H18" i="2"/>
  <c r="F24" i="2"/>
  <c r="M24" i="2"/>
  <c r="M27" i="2"/>
  <c r="H52" i="2"/>
  <c r="H59" i="2" s="1"/>
  <c r="L18" i="2"/>
  <c r="G17" i="2"/>
  <c r="G18" i="2"/>
  <c r="L20" i="2"/>
  <c r="L24" i="2"/>
  <c r="L27" i="2"/>
  <c r="G52" i="2"/>
  <c r="G59" i="2" s="1"/>
  <c r="M52" i="2"/>
  <c r="M59" i="2" s="1"/>
  <c r="H16" i="2"/>
  <c r="I17" i="2"/>
  <c r="G19" i="2"/>
  <c r="M19" i="2"/>
  <c r="I21" i="2"/>
  <c r="G25" i="2"/>
  <c r="M25" i="2"/>
  <c r="I16" i="2"/>
  <c r="F17" i="2"/>
  <c r="L17" i="2"/>
  <c r="H19" i="2"/>
  <c r="I20" i="2"/>
  <c r="F21" i="2"/>
  <c r="L21" i="2"/>
  <c r="H25" i="2"/>
  <c r="I27" i="2"/>
  <c r="I19" i="2"/>
  <c r="I25" i="2"/>
  <c r="G16" i="2"/>
  <c r="F19" i="2"/>
  <c r="G20" i="2"/>
  <c r="F25" i="2"/>
  <c r="G27" i="2"/>
  <c r="L63" i="9" l="1"/>
  <c r="H97" i="1" s="1"/>
  <c r="K58" i="2"/>
  <c r="K60" i="2" s="1"/>
  <c r="K53" i="2"/>
  <c r="K55" i="2" s="1"/>
  <c r="K56" i="2" s="1"/>
  <c r="J58" i="2"/>
  <c r="J60" i="2" s="1"/>
  <c r="J53" i="2"/>
  <c r="J55" i="2" s="1"/>
  <c r="J56" i="2" s="1"/>
  <c r="L55" i="1"/>
  <c r="K55" i="1"/>
  <c r="M55" i="1"/>
  <c r="K56" i="1"/>
  <c r="L54" i="1"/>
  <c r="L56" i="1"/>
  <c r="K57" i="1"/>
  <c r="M56" i="1"/>
  <c r="L57" i="1"/>
  <c r="M57" i="1"/>
  <c r="K53" i="1"/>
  <c r="J57" i="1"/>
  <c r="L51" i="1"/>
  <c r="J52" i="1"/>
  <c r="L52" i="1"/>
  <c r="J53" i="1"/>
  <c r="J56" i="1"/>
  <c r="M52" i="1"/>
  <c r="J54" i="1"/>
  <c r="K52" i="1"/>
  <c r="L53" i="1"/>
  <c r="K51" i="1"/>
  <c r="J55" i="1"/>
  <c r="M53" i="1"/>
  <c r="M54" i="1"/>
  <c r="K54" i="1"/>
  <c r="H57" i="1"/>
  <c r="G57" i="1"/>
  <c r="F57" i="1"/>
  <c r="F56" i="1"/>
  <c r="H56" i="1"/>
  <c r="I57" i="1"/>
  <c r="G56" i="1"/>
  <c r="I55" i="1"/>
  <c r="I56" i="1"/>
  <c r="I54" i="1"/>
  <c r="I52" i="1"/>
  <c r="I53" i="1"/>
  <c r="J63" i="9"/>
  <c r="F97" i="1" s="1"/>
  <c r="J51" i="1" s="1"/>
  <c r="N57" i="8"/>
  <c r="N60" i="8" s="1"/>
  <c r="G61" i="8" s="1"/>
  <c r="H111" i="1"/>
  <c r="J51" i="8"/>
  <c r="K51" i="8"/>
  <c r="J51" i="7"/>
  <c r="N53" i="7"/>
  <c r="N55" i="7" s="1"/>
  <c r="H110" i="1"/>
  <c r="K51" i="7"/>
  <c r="N57" i="6"/>
  <c r="N60" i="6" s="1"/>
  <c r="G61" i="6" s="1"/>
  <c r="H109" i="1"/>
  <c r="I51" i="6"/>
  <c r="J51" i="6"/>
  <c r="N57" i="5"/>
  <c r="N60" i="5" s="1"/>
  <c r="M61" i="5" s="1"/>
  <c r="H108" i="1"/>
  <c r="I51" i="5"/>
  <c r="J51" i="5"/>
  <c r="F51" i="2"/>
  <c r="M51" i="2"/>
  <c r="G51" i="2"/>
  <c r="H51" i="2"/>
  <c r="I51" i="2"/>
  <c r="L51" i="2"/>
  <c r="L26" i="8"/>
  <c r="L28" i="8" s="1"/>
  <c r="L30" i="8" s="1"/>
  <c r="F111" i="1" s="1"/>
  <c r="F26" i="8"/>
  <c r="L26" i="6"/>
  <c r="L28" i="6" s="1"/>
  <c r="L30" i="6" s="1"/>
  <c r="F109" i="1" s="1"/>
  <c r="M26" i="8"/>
  <c r="M28" i="8" s="1"/>
  <c r="M30" i="8" s="1"/>
  <c r="G111" i="1" s="1"/>
  <c r="L26" i="7"/>
  <c r="L28" i="7" s="1"/>
  <c r="L30" i="7" s="1"/>
  <c r="F110" i="1" s="1"/>
  <c r="K26" i="6"/>
  <c r="G26" i="8"/>
  <c r="M26" i="7"/>
  <c r="M28" i="7" s="1"/>
  <c r="M30" i="7" s="1"/>
  <c r="G110" i="1" s="1"/>
  <c r="H26" i="6"/>
  <c r="H28" i="6" s="1"/>
  <c r="H30" i="6" s="1"/>
  <c r="D109" i="1" s="1"/>
  <c r="F26" i="6"/>
  <c r="M26" i="6"/>
  <c r="I26" i="7"/>
  <c r="H26" i="7"/>
  <c r="G26" i="6"/>
  <c r="F26" i="7"/>
  <c r="I26" i="8"/>
  <c r="G26" i="7"/>
  <c r="G28" i="7" s="1"/>
  <c r="G30" i="7" s="1"/>
  <c r="C110" i="1" s="1"/>
  <c r="H26" i="8"/>
  <c r="H28" i="8" s="1"/>
  <c r="H30" i="8" s="1"/>
  <c r="D111" i="1" s="1"/>
  <c r="M26" i="2"/>
  <c r="M28" i="2" s="1"/>
  <c r="M30" i="2" s="1"/>
  <c r="L26" i="5"/>
  <c r="L28" i="5" s="1"/>
  <c r="L30" i="5" s="1"/>
  <c r="F108" i="1" s="1"/>
  <c r="H26" i="2"/>
  <c r="M26" i="5"/>
  <c r="F26" i="2"/>
  <c r="I26" i="2"/>
  <c r="F26" i="5"/>
  <c r="F28" i="5" s="1"/>
  <c r="F30" i="5" s="1"/>
  <c r="B108" i="1" s="1"/>
  <c r="K26" i="5"/>
  <c r="G26" i="5"/>
  <c r="G26" i="2"/>
  <c r="G28" i="2" s="1"/>
  <c r="L26" i="2"/>
  <c r="L28" i="2" s="1"/>
  <c r="H26" i="5"/>
  <c r="H28" i="5" s="1"/>
  <c r="H63" i="9"/>
  <c r="N57" i="7"/>
  <c r="N60" i="7" s="1"/>
  <c r="N53" i="6"/>
  <c r="N55" i="6" s="1"/>
  <c r="M51" i="5"/>
  <c r="M58" i="5" s="1"/>
  <c r="F52" i="1"/>
  <c r="F54" i="1"/>
  <c r="H55" i="1"/>
  <c r="H54" i="1"/>
  <c r="F55" i="1"/>
  <c r="G55" i="1"/>
  <c r="G54" i="1"/>
  <c r="H53" i="1"/>
  <c r="F53" i="1"/>
  <c r="G53" i="1"/>
  <c r="H52" i="1"/>
  <c r="G52" i="1"/>
  <c r="K51" i="6"/>
  <c r="K58" i="6" s="1"/>
  <c r="G51" i="6"/>
  <c r="G58" i="6" s="1"/>
  <c r="H51" i="6"/>
  <c r="H58" i="6" s="1"/>
  <c r="I51" i="7"/>
  <c r="I58" i="7" s="1"/>
  <c r="H51" i="7"/>
  <c r="H58" i="7" s="1"/>
  <c r="G51" i="8"/>
  <c r="G58" i="8" s="1"/>
  <c r="H51" i="8"/>
  <c r="H58" i="8" s="1"/>
  <c r="I51" i="8"/>
  <c r="I58" i="8" s="1"/>
  <c r="K51" i="5"/>
  <c r="K58" i="5" s="1"/>
  <c r="N53" i="8"/>
  <c r="N55" i="8" s="1"/>
  <c r="N53" i="5"/>
  <c r="N55" i="5" s="1"/>
  <c r="N53" i="2"/>
  <c r="N55" i="2" s="1"/>
  <c r="N57" i="2"/>
  <c r="N60" i="2" s="1"/>
  <c r="T37" i="9"/>
  <c r="G57" i="9"/>
  <c r="G60" i="9" s="1"/>
  <c r="G63" i="9" s="1"/>
  <c r="C97" i="1" s="1"/>
  <c r="G53" i="9"/>
  <c r="G55" i="9" s="1"/>
  <c r="G56" i="9" s="1"/>
  <c r="M57" i="9"/>
  <c r="M60" i="9" s="1"/>
  <c r="M63" i="9" s="1"/>
  <c r="I97" i="1" s="1"/>
  <c r="M51" i="1" s="1"/>
  <c r="M53" i="9"/>
  <c r="M55" i="9" s="1"/>
  <c r="M56" i="9" s="1"/>
  <c r="I57" i="9"/>
  <c r="I60" i="9" s="1"/>
  <c r="I63" i="9" s="1"/>
  <c r="E97" i="1" s="1"/>
  <c r="I53" i="9"/>
  <c r="I55" i="9" s="1"/>
  <c r="I56" i="9" s="1"/>
  <c r="F57" i="9"/>
  <c r="F60" i="9" s="1"/>
  <c r="F63" i="9" s="1"/>
  <c r="B97" i="1" s="1"/>
  <c r="F53" i="9"/>
  <c r="F55" i="9" s="1"/>
  <c r="F56" i="9" s="1"/>
  <c r="L51" i="7"/>
  <c r="L58" i="7" s="1"/>
  <c r="F51" i="7"/>
  <c r="F58" i="7" s="1"/>
  <c r="M51" i="6"/>
  <c r="M58" i="6" s="1"/>
  <c r="M51" i="8"/>
  <c r="M58" i="8" s="1"/>
  <c r="G51" i="5"/>
  <c r="G58" i="5" s="1"/>
  <c r="F51" i="8"/>
  <c r="F58" i="8" s="1"/>
  <c r="L51" i="8"/>
  <c r="L58" i="8" s="1"/>
  <c r="L61" i="8"/>
  <c r="M51" i="7"/>
  <c r="M58" i="7" s="1"/>
  <c r="G51" i="7"/>
  <c r="G58" i="7" s="1"/>
  <c r="F51" i="6"/>
  <c r="F58" i="6" s="1"/>
  <c r="L51" i="6"/>
  <c r="L58" i="6" s="1"/>
  <c r="H51" i="5"/>
  <c r="H58" i="5" s="1"/>
  <c r="L51" i="5"/>
  <c r="L58" i="5" s="1"/>
  <c r="F51" i="5"/>
  <c r="F58" i="5" s="1"/>
  <c r="I61" i="8" l="1"/>
  <c r="F61" i="8"/>
  <c r="H61" i="8"/>
  <c r="M61" i="8"/>
  <c r="K61" i="6"/>
  <c r="M61" i="6"/>
  <c r="H61" i="6"/>
  <c r="I51" i="1"/>
  <c r="D97" i="1"/>
  <c r="H51" i="1" s="1"/>
  <c r="F61" i="5"/>
  <c r="H61" i="5"/>
  <c r="L61" i="5"/>
  <c r="K61" i="5"/>
  <c r="G61" i="5"/>
  <c r="K58" i="8"/>
  <c r="K60" i="8" s="1"/>
  <c r="K53" i="8"/>
  <c r="K55" i="8" s="1"/>
  <c r="K56" i="8" s="1"/>
  <c r="J58" i="8"/>
  <c r="J60" i="8" s="1"/>
  <c r="J53" i="8"/>
  <c r="J55" i="8" s="1"/>
  <c r="J56" i="8" s="1"/>
  <c r="K61" i="8"/>
  <c r="J61" i="8"/>
  <c r="F61" i="7"/>
  <c r="K61" i="7"/>
  <c r="J61" i="7"/>
  <c r="H119" i="1"/>
  <c r="J58" i="7"/>
  <c r="J60" i="7" s="1"/>
  <c r="J53" i="7"/>
  <c r="J55" i="7" s="1"/>
  <c r="J56" i="7" s="1"/>
  <c r="K58" i="7"/>
  <c r="K60" i="7" s="1"/>
  <c r="K53" i="7"/>
  <c r="K55" i="7" s="1"/>
  <c r="K56" i="7" s="1"/>
  <c r="L61" i="6"/>
  <c r="F61" i="6"/>
  <c r="I61" i="2"/>
  <c r="J61" i="2"/>
  <c r="J63" i="2" s="1"/>
  <c r="F92" i="1" s="1"/>
  <c r="J46" i="1" s="1"/>
  <c r="K61" i="2"/>
  <c r="K63" i="2" s="1"/>
  <c r="G92" i="1" s="1"/>
  <c r="K46" i="1" s="1"/>
  <c r="J58" i="6"/>
  <c r="J60" i="6" s="1"/>
  <c r="J53" i="6"/>
  <c r="J55" i="6" s="1"/>
  <c r="J56" i="6" s="1"/>
  <c r="I58" i="6"/>
  <c r="I60" i="6" s="1"/>
  <c r="I53" i="6"/>
  <c r="I55" i="6" s="1"/>
  <c r="I56" i="6" s="1"/>
  <c r="J61" i="6"/>
  <c r="I61" i="6"/>
  <c r="I58" i="5"/>
  <c r="I60" i="5" s="1"/>
  <c r="I53" i="5"/>
  <c r="I55" i="5" s="1"/>
  <c r="I56" i="5" s="1"/>
  <c r="J58" i="5"/>
  <c r="J60" i="5" s="1"/>
  <c r="J53" i="5"/>
  <c r="J55" i="5" s="1"/>
  <c r="J56" i="5" s="1"/>
  <c r="J61" i="5"/>
  <c r="I61" i="5"/>
  <c r="L30" i="2"/>
  <c r="L57" i="2" s="1"/>
  <c r="F28" i="2"/>
  <c r="F30" i="2" s="1"/>
  <c r="T39" i="9"/>
  <c r="G30" i="2"/>
  <c r="G57" i="2" s="1"/>
  <c r="F58" i="2"/>
  <c r="M58" i="2"/>
  <c r="L58" i="2"/>
  <c r="G58" i="2"/>
  <c r="I58" i="2"/>
  <c r="H58" i="2"/>
  <c r="L61" i="7"/>
  <c r="H61" i="7"/>
  <c r="M61" i="7"/>
  <c r="I61" i="7"/>
  <c r="G61" i="7"/>
  <c r="G61" i="2"/>
  <c r="M61" i="2"/>
  <c r="F61" i="2"/>
  <c r="H61" i="2"/>
  <c r="L61" i="2"/>
  <c r="T36" i="9"/>
  <c r="T38" i="9"/>
  <c r="T40" i="9"/>
  <c r="G51" i="1"/>
  <c r="T41" i="9"/>
  <c r="F51" i="1"/>
  <c r="M57" i="2"/>
  <c r="G107" i="1"/>
  <c r="H30" i="5"/>
  <c r="M57" i="8"/>
  <c r="M60" i="8" s="1"/>
  <c r="M53" i="8"/>
  <c r="M55" i="8" s="1"/>
  <c r="M56" i="8" s="1"/>
  <c r="H57" i="8"/>
  <c r="H60" i="8" s="1"/>
  <c r="H53" i="8"/>
  <c r="H55" i="8" s="1"/>
  <c r="H56" i="8" s="1"/>
  <c r="L57" i="8"/>
  <c r="L60" i="8" s="1"/>
  <c r="L53" i="8"/>
  <c r="L55" i="8" s="1"/>
  <c r="L56" i="8" s="1"/>
  <c r="G28" i="8"/>
  <c r="G30" i="8" s="1"/>
  <c r="C111" i="1" s="1"/>
  <c r="I28" i="8"/>
  <c r="I30" i="8" s="1"/>
  <c r="E111" i="1" s="1"/>
  <c r="F28" i="8"/>
  <c r="F30" i="8" s="1"/>
  <c r="B111" i="1" s="1"/>
  <c r="L57" i="7"/>
  <c r="L60" i="7" s="1"/>
  <c r="L53" i="7"/>
  <c r="L55" i="7" s="1"/>
  <c r="L56" i="7" s="1"/>
  <c r="G53" i="7"/>
  <c r="G55" i="7" s="1"/>
  <c r="G56" i="7" s="1"/>
  <c r="G57" i="7"/>
  <c r="G60" i="7" s="1"/>
  <c r="I28" i="7"/>
  <c r="I30" i="7" s="1"/>
  <c r="E110" i="1" s="1"/>
  <c r="H28" i="7"/>
  <c r="H30" i="7" s="1"/>
  <c r="D110" i="1" s="1"/>
  <c r="M57" i="7"/>
  <c r="M60" i="7" s="1"/>
  <c r="M53" i="7"/>
  <c r="M55" i="7" s="1"/>
  <c r="M56" i="7" s="1"/>
  <c r="F28" i="7"/>
  <c r="F30" i="7" s="1"/>
  <c r="B110" i="1" s="1"/>
  <c r="H57" i="6"/>
  <c r="H60" i="6" s="1"/>
  <c r="H63" i="6" s="1"/>
  <c r="D94" i="1" s="1"/>
  <c r="H53" i="6"/>
  <c r="H55" i="6" s="1"/>
  <c r="H56" i="6" s="1"/>
  <c r="L57" i="6"/>
  <c r="L60" i="6" s="1"/>
  <c r="L53" i="6"/>
  <c r="L55" i="6" s="1"/>
  <c r="L56" i="6" s="1"/>
  <c r="K28" i="6"/>
  <c r="K30" i="6" s="1"/>
  <c r="E109" i="1" s="1"/>
  <c r="M28" i="6"/>
  <c r="M30" i="6" s="1"/>
  <c r="G109" i="1" s="1"/>
  <c r="G28" i="6"/>
  <c r="G30" i="6" s="1"/>
  <c r="C109" i="1" s="1"/>
  <c r="F28" i="6"/>
  <c r="F30" i="6" s="1"/>
  <c r="B109" i="1" s="1"/>
  <c r="L57" i="5"/>
  <c r="L60" i="5" s="1"/>
  <c r="L53" i="5"/>
  <c r="L55" i="5" s="1"/>
  <c r="L56" i="5" s="1"/>
  <c r="F57" i="5"/>
  <c r="F60" i="5" s="1"/>
  <c r="F53" i="5"/>
  <c r="F55" i="5" s="1"/>
  <c r="F56" i="5" s="1"/>
  <c r="G28" i="5"/>
  <c r="G30" i="5" s="1"/>
  <c r="C108" i="1" s="1"/>
  <c r="M28" i="5"/>
  <c r="M30" i="5" s="1"/>
  <c r="G108" i="1" s="1"/>
  <c r="K28" i="5"/>
  <c r="K30" i="5" s="1"/>
  <c r="E108" i="1" s="1"/>
  <c r="M53" i="2"/>
  <c r="H28" i="2"/>
  <c r="H30" i="2" s="1"/>
  <c r="I28" i="2"/>
  <c r="I30" i="2" s="1"/>
  <c r="K63" i="7" l="1"/>
  <c r="G95" i="1" s="1"/>
  <c r="K49" i="1" s="1"/>
  <c r="L63" i="5"/>
  <c r="H93" i="1" s="1"/>
  <c r="L47" i="1" s="1"/>
  <c r="F63" i="5"/>
  <c r="B93" i="1" s="1"/>
  <c r="M63" i="7"/>
  <c r="I95" i="1" s="1"/>
  <c r="M49" i="1" s="1"/>
  <c r="J63" i="7"/>
  <c r="F95" i="1" s="1"/>
  <c r="J49" i="1" s="1"/>
  <c r="J63" i="8"/>
  <c r="F96" i="1" s="1"/>
  <c r="J50" i="1" s="1"/>
  <c r="K63" i="8"/>
  <c r="G96" i="1" s="1"/>
  <c r="K50" i="1" s="1"/>
  <c r="L63" i="6"/>
  <c r="J63" i="5"/>
  <c r="F93" i="1" s="1"/>
  <c r="J47" i="1" s="1"/>
  <c r="I63" i="6"/>
  <c r="E94" i="1" s="1"/>
  <c r="J63" i="6"/>
  <c r="F94" i="1" s="1"/>
  <c r="J48" i="1" s="1"/>
  <c r="I63" i="5"/>
  <c r="E93" i="1" s="1"/>
  <c r="L53" i="2"/>
  <c r="L55" i="2" s="1"/>
  <c r="L56" i="2" s="1"/>
  <c r="F107" i="1"/>
  <c r="F119" i="1" s="1"/>
  <c r="G53" i="2"/>
  <c r="G55" i="2" s="1"/>
  <c r="G56" i="2" s="1"/>
  <c r="L63" i="7"/>
  <c r="H95" i="1" s="1"/>
  <c r="L49" i="1" s="1"/>
  <c r="C107" i="1"/>
  <c r="C119" i="1" s="1"/>
  <c r="F53" i="2"/>
  <c r="F55" i="2" s="1"/>
  <c r="F56" i="2" s="1"/>
  <c r="B107" i="1"/>
  <c r="B119" i="1" s="1"/>
  <c r="F57" i="2"/>
  <c r="G63" i="7"/>
  <c r="L63" i="8"/>
  <c r="H96" i="1" s="1"/>
  <c r="L50" i="1" s="1"/>
  <c r="M63" i="8"/>
  <c r="I96" i="1" s="1"/>
  <c r="M50" i="1" s="1"/>
  <c r="H63" i="8"/>
  <c r="G119" i="1"/>
  <c r="H53" i="5"/>
  <c r="H55" i="5" s="1"/>
  <c r="H56" i="5" s="1"/>
  <c r="D108" i="1"/>
  <c r="H57" i="5"/>
  <c r="H60" i="5" s="1"/>
  <c r="I57" i="2"/>
  <c r="E107" i="1"/>
  <c r="E119" i="1" s="1"/>
  <c r="H57" i="2"/>
  <c r="D107" i="1"/>
  <c r="T36" i="7"/>
  <c r="T39" i="6"/>
  <c r="H48" i="1"/>
  <c r="T41" i="5"/>
  <c r="F47" i="1"/>
  <c r="T37" i="5"/>
  <c r="I57" i="8"/>
  <c r="I60" i="8" s="1"/>
  <c r="I53" i="8"/>
  <c r="I55" i="8" s="1"/>
  <c r="I56" i="8" s="1"/>
  <c r="F57" i="8"/>
  <c r="F60" i="8" s="1"/>
  <c r="F53" i="8"/>
  <c r="F55" i="8" s="1"/>
  <c r="F56" i="8" s="1"/>
  <c r="G57" i="8"/>
  <c r="G60" i="8" s="1"/>
  <c r="G53" i="8"/>
  <c r="G55" i="8" s="1"/>
  <c r="G56" i="8" s="1"/>
  <c r="H57" i="7"/>
  <c r="H60" i="7" s="1"/>
  <c r="H63" i="7" s="1"/>
  <c r="D95" i="1" s="1"/>
  <c r="H53" i="7"/>
  <c r="H55" i="7" s="1"/>
  <c r="H56" i="7" s="1"/>
  <c r="F57" i="7"/>
  <c r="F60" i="7" s="1"/>
  <c r="F63" i="7" s="1"/>
  <c r="B95" i="1" s="1"/>
  <c r="F53" i="7"/>
  <c r="F55" i="7" s="1"/>
  <c r="F56" i="7" s="1"/>
  <c r="I57" i="7"/>
  <c r="I60" i="7" s="1"/>
  <c r="I63" i="7" s="1"/>
  <c r="E95" i="1" s="1"/>
  <c r="I53" i="7"/>
  <c r="I55" i="7" s="1"/>
  <c r="I56" i="7" s="1"/>
  <c r="G57" i="6"/>
  <c r="G60" i="6" s="1"/>
  <c r="G63" i="6" s="1"/>
  <c r="C94" i="1" s="1"/>
  <c r="G53" i="6"/>
  <c r="G55" i="6" s="1"/>
  <c r="G56" i="6" s="1"/>
  <c r="F57" i="6"/>
  <c r="F60" i="6" s="1"/>
  <c r="F63" i="6" s="1"/>
  <c r="B94" i="1" s="1"/>
  <c r="F53" i="6"/>
  <c r="F55" i="6" s="1"/>
  <c r="F56" i="6" s="1"/>
  <c r="M57" i="6"/>
  <c r="M60" i="6" s="1"/>
  <c r="M63" i="6" s="1"/>
  <c r="I94" i="1" s="1"/>
  <c r="M48" i="1" s="1"/>
  <c r="M53" i="6"/>
  <c r="M55" i="6" s="1"/>
  <c r="M56" i="6" s="1"/>
  <c r="K57" i="6"/>
  <c r="K60" i="6" s="1"/>
  <c r="K63" i="6" s="1"/>
  <c r="G94" i="1" s="1"/>
  <c r="K48" i="1" s="1"/>
  <c r="K53" i="6"/>
  <c r="K55" i="6" s="1"/>
  <c r="K56" i="6" s="1"/>
  <c r="K57" i="5"/>
  <c r="K60" i="5" s="1"/>
  <c r="K63" i="5" s="1"/>
  <c r="G93" i="1" s="1"/>
  <c r="K47" i="1" s="1"/>
  <c r="K53" i="5"/>
  <c r="K55" i="5" s="1"/>
  <c r="K56" i="5" s="1"/>
  <c r="M57" i="5"/>
  <c r="M60" i="5" s="1"/>
  <c r="M63" i="5" s="1"/>
  <c r="I93" i="1" s="1"/>
  <c r="M47" i="1" s="1"/>
  <c r="M53" i="5"/>
  <c r="M55" i="5" s="1"/>
  <c r="M56" i="5" s="1"/>
  <c r="G57" i="5"/>
  <c r="G60" i="5" s="1"/>
  <c r="G63" i="5" s="1"/>
  <c r="C93" i="1" s="1"/>
  <c r="G53" i="5"/>
  <c r="G55" i="5" s="1"/>
  <c r="G56" i="5" s="1"/>
  <c r="I53" i="2"/>
  <c r="M55" i="2"/>
  <c r="M56" i="2" s="1"/>
  <c r="M60" i="2"/>
  <c r="H53" i="2"/>
  <c r="L60" i="2"/>
  <c r="C95" i="1" l="1"/>
  <c r="G49" i="1" s="1"/>
  <c r="I49" i="1"/>
  <c r="I47" i="1"/>
  <c r="I48" i="1"/>
  <c r="D96" i="1"/>
  <c r="H50" i="1" s="1"/>
  <c r="T37" i="6"/>
  <c r="H94" i="1"/>
  <c r="L48" i="1" s="1"/>
  <c r="T37" i="7"/>
  <c r="T37" i="8"/>
  <c r="T39" i="8"/>
  <c r="F63" i="8"/>
  <c r="T36" i="8"/>
  <c r="M63" i="2"/>
  <c r="I92" i="1" s="1"/>
  <c r="L63" i="2"/>
  <c r="H92" i="1" s="1"/>
  <c r="G63" i="8"/>
  <c r="I63" i="8"/>
  <c r="E96" i="1" s="1"/>
  <c r="H63" i="5"/>
  <c r="T40" i="7"/>
  <c r="D119" i="1"/>
  <c r="T38" i="7"/>
  <c r="T39" i="7"/>
  <c r="H49" i="1"/>
  <c r="T41" i="7"/>
  <c r="F49" i="1"/>
  <c r="T36" i="6"/>
  <c r="T40" i="6"/>
  <c r="G48" i="1"/>
  <c r="T38" i="6"/>
  <c r="T41" i="6"/>
  <c r="F48" i="1"/>
  <c r="T40" i="5"/>
  <c r="G47" i="1"/>
  <c r="T38" i="5"/>
  <c r="T36" i="5"/>
  <c r="G60" i="2"/>
  <c r="H55" i="2"/>
  <c r="H56" i="2" s="1"/>
  <c r="I55" i="2"/>
  <c r="I56" i="2" s="1"/>
  <c r="H60" i="2"/>
  <c r="F60" i="2"/>
  <c r="I104" i="1" l="1"/>
  <c r="M46" i="1"/>
  <c r="H104" i="1"/>
  <c r="L46" i="1"/>
  <c r="I50" i="1"/>
  <c r="T39" i="5"/>
  <c r="D93" i="1"/>
  <c r="T40" i="8"/>
  <c r="C96" i="1"/>
  <c r="F50" i="1"/>
  <c r="B96" i="1"/>
  <c r="T37" i="2"/>
  <c r="T36" i="2"/>
  <c r="T38" i="8"/>
  <c r="T41" i="8"/>
  <c r="H47" i="1"/>
  <c r="G50" i="1"/>
  <c r="F104" i="1"/>
  <c r="F63" i="2"/>
  <c r="B92" i="1" s="1"/>
  <c r="F46" i="1" s="1"/>
  <c r="G63" i="2"/>
  <c r="C92" i="1" s="1"/>
  <c r="H63" i="2"/>
  <c r="T39" i="2" s="1"/>
  <c r="G104" i="1"/>
  <c r="I60" i="2"/>
  <c r="T40" i="2" l="1"/>
  <c r="G46" i="1"/>
  <c r="C104" i="1"/>
  <c r="B104" i="1"/>
  <c r="T41" i="2"/>
  <c r="D92" i="1"/>
  <c r="I63" i="2"/>
  <c r="T38" i="2" s="1"/>
  <c r="E92" i="1" l="1"/>
  <c r="H46" i="1"/>
  <c r="D104" i="1"/>
  <c r="F16" i="1"/>
  <c r="I46" i="1" l="1"/>
  <c r="J59" i="1"/>
  <c r="K59" i="1"/>
  <c r="E104" i="1"/>
  <c r="I16" i="1"/>
  <c r="H16" i="1"/>
  <c r="M16" i="1"/>
  <c r="G16" i="1"/>
  <c r="L16" i="1"/>
  <c r="K64" i="1" l="1"/>
  <c r="J64" i="1"/>
  <c r="N59" i="1"/>
  <c r="N58" i="1"/>
  <c r="J68" i="1" l="1"/>
  <c r="K68" i="1"/>
  <c r="S41" i="1"/>
  <c r="S40" i="1"/>
  <c r="S39" i="1"/>
  <c r="S38" i="1"/>
  <c r="S37" i="1"/>
  <c r="S36" i="1"/>
  <c r="G32" i="1"/>
  <c r="H32" i="1"/>
  <c r="I32" i="1"/>
  <c r="L32" i="1"/>
  <c r="M32" i="1"/>
  <c r="F32" i="1"/>
  <c r="K74" i="1" l="1"/>
  <c r="J74" i="1"/>
  <c r="F18" i="1"/>
  <c r="G18" i="1"/>
  <c r="H18" i="1"/>
  <c r="I18" i="1"/>
  <c r="L18" i="1"/>
  <c r="M18" i="1"/>
  <c r="F19" i="1"/>
  <c r="G19" i="1"/>
  <c r="H19" i="1"/>
  <c r="I19" i="1"/>
  <c r="L19" i="1"/>
  <c r="M19" i="1"/>
  <c r="F20" i="1"/>
  <c r="G20" i="1"/>
  <c r="H20" i="1"/>
  <c r="I20" i="1"/>
  <c r="L20" i="1"/>
  <c r="M20" i="1"/>
  <c r="F21" i="1"/>
  <c r="G21" i="1"/>
  <c r="H21" i="1"/>
  <c r="I21" i="1"/>
  <c r="L21" i="1"/>
  <c r="M21" i="1"/>
  <c r="F22" i="1"/>
  <c r="G22" i="1"/>
  <c r="H22" i="1"/>
  <c r="I22" i="1"/>
  <c r="L22" i="1"/>
  <c r="M22" i="1"/>
  <c r="F23" i="1"/>
  <c r="G23" i="1"/>
  <c r="H23" i="1"/>
  <c r="I23" i="1"/>
  <c r="L23" i="1"/>
  <c r="M23" i="1"/>
  <c r="M17" i="1" l="1"/>
  <c r="M26" i="1" s="1"/>
  <c r="L17" i="1"/>
  <c r="L26" i="1" s="1"/>
  <c r="I17" i="1"/>
  <c r="I26" i="1" s="1"/>
  <c r="H17" i="1" l="1"/>
  <c r="H26" i="1" s="1"/>
  <c r="H59" i="1" l="1"/>
  <c r="H64" i="1" s="1"/>
  <c r="H28" i="1"/>
  <c r="H30" i="1" s="1"/>
  <c r="H62" i="1" l="1"/>
  <c r="H66" i="1" s="1"/>
  <c r="H72" i="1" s="1"/>
  <c r="H68" i="1"/>
  <c r="H74" i="1" s="1"/>
  <c r="E34" i="1" l="1"/>
  <c r="E35" i="1"/>
  <c r="E36" i="1"/>
  <c r="E37" i="1"/>
  <c r="E38" i="1"/>
  <c r="E39" i="1"/>
  <c r="E40" i="1"/>
  <c r="E41" i="1"/>
  <c r="E42" i="1"/>
  <c r="E43" i="1"/>
  <c r="E44" i="1"/>
  <c r="E33" i="1"/>
  <c r="H33" i="1" l="1"/>
  <c r="F33" i="1"/>
  <c r="I33" i="1"/>
  <c r="J33" i="1"/>
  <c r="L33" i="1"/>
  <c r="M33" i="1"/>
  <c r="G33" i="1"/>
  <c r="K33" i="1"/>
  <c r="I38" i="1"/>
  <c r="J38" i="1"/>
  <c r="F38" i="1"/>
  <c r="G38" i="1"/>
  <c r="K38" i="1"/>
  <c r="H38" i="1"/>
  <c r="L38" i="1"/>
  <c r="M38" i="1"/>
  <c r="H44" i="1"/>
  <c r="K44" i="1"/>
  <c r="F44" i="1"/>
  <c r="G44" i="1"/>
  <c r="I44" i="1"/>
  <c r="J44" i="1"/>
  <c r="L44" i="1"/>
  <c r="M44" i="1"/>
  <c r="F42" i="1"/>
  <c r="J42" i="1"/>
  <c r="G42" i="1"/>
  <c r="I42" i="1"/>
  <c r="H42" i="1"/>
  <c r="K42" i="1"/>
  <c r="L42" i="1"/>
  <c r="M42" i="1"/>
  <c r="G40" i="1"/>
  <c r="I40" i="1"/>
  <c r="F40" i="1"/>
  <c r="K40" i="1"/>
  <c r="H40" i="1"/>
  <c r="J40" i="1"/>
  <c r="L40" i="1"/>
  <c r="M40" i="1"/>
  <c r="F36" i="1"/>
  <c r="I36" i="1"/>
  <c r="G36" i="1"/>
  <c r="H36" i="1"/>
  <c r="J36" i="1"/>
  <c r="K36" i="1"/>
  <c r="L36" i="1"/>
  <c r="M36" i="1"/>
  <c r="F43" i="1"/>
  <c r="H43" i="1"/>
  <c r="L43" i="1"/>
  <c r="G43" i="1"/>
  <c r="J43" i="1"/>
  <c r="M43" i="1"/>
  <c r="K43" i="1"/>
  <c r="I43" i="1"/>
  <c r="F41" i="1"/>
  <c r="I41" i="1"/>
  <c r="J41" i="1"/>
  <c r="G41" i="1"/>
  <c r="M41" i="1"/>
  <c r="L41" i="1"/>
  <c r="K41" i="1"/>
  <c r="H41" i="1"/>
  <c r="F39" i="1"/>
  <c r="G39" i="1"/>
  <c r="H39" i="1"/>
  <c r="I39" i="1"/>
  <c r="J39" i="1"/>
  <c r="M39" i="1"/>
  <c r="L39" i="1"/>
  <c r="K39" i="1"/>
  <c r="F37" i="1"/>
  <c r="G37" i="1"/>
  <c r="L37" i="1"/>
  <c r="M37" i="1"/>
  <c r="H37" i="1"/>
  <c r="I37" i="1"/>
  <c r="J37" i="1"/>
  <c r="K37" i="1"/>
  <c r="F35" i="1"/>
  <c r="G35" i="1"/>
  <c r="H35" i="1"/>
  <c r="I35" i="1"/>
  <c r="J35" i="1"/>
  <c r="K35" i="1"/>
  <c r="L35" i="1"/>
  <c r="M35" i="1"/>
  <c r="F34" i="1"/>
  <c r="G34" i="1"/>
  <c r="J34" i="1"/>
  <c r="K34" i="1"/>
  <c r="L34" i="1"/>
  <c r="M34" i="1"/>
  <c r="I34" i="1"/>
  <c r="H34" i="1"/>
  <c r="K58" i="1" l="1"/>
  <c r="K63" i="1" s="1"/>
  <c r="J58" i="1"/>
  <c r="J63" i="1" s="1"/>
  <c r="H58" i="1"/>
  <c r="J60" i="1" l="1"/>
  <c r="J77" i="1" s="1"/>
  <c r="K60" i="1"/>
  <c r="K77" i="1" s="1"/>
  <c r="J67" i="1"/>
  <c r="J65" i="1"/>
  <c r="K67" i="1"/>
  <c r="K65" i="1"/>
  <c r="H63" i="1"/>
  <c r="H65" i="1" s="1"/>
  <c r="H60" i="1"/>
  <c r="H77" i="1" s="1"/>
  <c r="H67" i="1" l="1"/>
  <c r="K69" i="1"/>
  <c r="K70" i="1" s="1"/>
  <c r="K71" i="1" s="1"/>
  <c r="K73" i="1"/>
  <c r="K75" i="1" s="1"/>
  <c r="K79" i="1" s="1"/>
  <c r="J69" i="1"/>
  <c r="J70" i="1" s="1"/>
  <c r="J71" i="1" s="1"/>
  <c r="J73" i="1"/>
  <c r="J75" i="1" s="1"/>
  <c r="J79" i="1" s="1"/>
  <c r="H73" i="1"/>
  <c r="H75" i="1" s="1"/>
  <c r="H79" i="1" s="1"/>
  <c r="H69" i="1"/>
  <c r="H70" i="1" s="1"/>
  <c r="H71" i="1" s="1"/>
  <c r="F58" i="1" l="1"/>
  <c r="F17" i="1" l="1"/>
  <c r="F26" i="1" s="1"/>
  <c r="G17" i="1"/>
  <c r="G26" i="1" s="1"/>
  <c r="I59" i="1" l="1"/>
  <c r="G59" i="1"/>
  <c r="L59" i="1"/>
  <c r="M59" i="1"/>
  <c r="F59" i="1"/>
  <c r="G58" i="1"/>
  <c r="M58" i="1" l="1"/>
  <c r="L58" i="1"/>
  <c r="I58" i="1"/>
  <c r="N15" i="1"/>
  <c r="N14" i="1"/>
  <c r="N26" i="1" l="1"/>
  <c r="I28" i="1"/>
  <c r="L28" i="1"/>
  <c r="N30" i="1" l="1"/>
  <c r="L30" i="1"/>
  <c r="L60" i="1" s="1"/>
  <c r="I30" i="1"/>
  <c r="I60" i="1" s="1"/>
  <c r="M63" i="1"/>
  <c r="M67" i="1" s="1"/>
  <c r="G64" i="1"/>
  <c r="G68" i="1" s="1"/>
  <c r="I64" i="1"/>
  <c r="I68" i="1" s="1"/>
  <c r="L64" i="1"/>
  <c r="L68" i="1" s="1"/>
  <c r="M64" i="1"/>
  <c r="M68" i="1" s="1"/>
  <c r="F64" i="1"/>
  <c r="M28" i="1"/>
  <c r="H27" i="1" l="1"/>
  <c r="M27" i="1"/>
  <c r="L27" i="1"/>
  <c r="I27" i="1"/>
  <c r="I77" i="1"/>
  <c r="L77" i="1"/>
  <c r="M30" i="1"/>
  <c r="M60" i="1" s="1"/>
  <c r="G27" i="1"/>
  <c r="F27" i="1"/>
  <c r="F63" i="1"/>
  <c r="F67" i="1" s="1"/>
  <c r="N74" i="1"/>
  <c r="M74" i="1"/>
  <c r="L74" i="1"/>
  <c r="I74" i="1"/>
  <c r="G74" i="1"/>
  <c r="M73" i="1"/>
  <c r="I63" i="1"/>
  <c r="I67" i="1" s="1"/>
  <c r="F68" i="1"/>
  <c r="F74" i="1" s="1"/>
  <c r="N73" i="1"/>
  <c r="L63" i="1"/>
  <c r="G63" i="1"/>
  <c r="G28" i="1"/>
  <c r="F28" i="1"/>
  <c r="M77" i="1" l="1"/>
  <c r="N60" i="1"/>
  <c r="I62" i="1"/>
  <c r="I65" i="1" s="1"/>
  <c r="G30" i="1"/>
  <c r="G60" i="1" s="1"/>
  <c r="F30" i="1"/>
  <c r="F60" i="1" s="1"/>
  <c r="F73" i="1"/>
  <c r="I73" i="1"/>
  <c r="L67" i="1"/>
  <c r="L73" i="1" s="1"/>
  <c r="G67" i="1"/>
  <c r="G73" i="1" s="1"/>
  <c r="G77" i="1" l="1"/>
  <c r="F77" i="1"/>
  <c r="G62" i="1"/>
  <c r="G66" i="1" s="1"/>
  <c r="G69" i="1" s="1"/>
  <c r="L62" i="1"/>
  <c r="L65" i="1" s="1"/>
  <c r="M62" i="1"/>
  <c r="M65" i="1" s="1"/>
  <c r="F62" i="1"/>
  <c r="F65" i="1" s="1"/>
  <c r="I66" i="1"/>
  <c r="I69" i="1" s="1"/>
  <c r="G65" i="1" l="1"/>
  <c r="I70" i="1"/>
  <c r="I71" i="1" s="1"/>
  <c r="G72" i="1"/>
  <c r="L66" i="1"/>
  <c r="L72" i="1" s="1"/>
  <c r="M66" i="1"/>
  <c r="M69" i="1" s="1"/>
  <c r="F66" i="1"/>
  <c r="F69" i="1" s="1"/>
  <c r="I72" i="1"/>
  <c r="M70" i="1" l="1"/>
  <c r="M71" i="1" s="1"/>
  <c r="I75" i="1"/>
  <c r="I79" i="1" s="1"/>
  <c r="L75" i="1"/>
  <c r="L79" i="1" s="1"/>
  <c r="N70" i="1"/>
  <c r="G75" i="1"/>
  <c r="G79" i="1" s="1"/>
  <c r="G70" i="1"/>
  <c r="G71" i="1" s="1"/>
  <c r="F70" i="1"/>
  <c r="F71" i="1" s="1"/>
  <c r="N72" i="1"/>
  <c r="M72" i="1"/>
  <c r="F72" i="1"/>
  <c r="L69" i="1"/>
  <c r="N75" i="1" l="1"/>
  <c r="L70" i="1"/>
  <c r="L71" i="1" s="1"/>
  <c r="F75" i="1"/>
  <c r="M75" i="1"/>
  <c r="M79" i="1" s="1"/>
  <c r="J76" i="1" l="1"/>
  <c r="J80" i="1" s="1"/>
  <c r="K76" i="1"/>
  <c r="K80" i="1" s="1"/>
  <c r="F79" i="1"/>
  <c r="F76" i="1"/>
  <c r="L76" i="1"/>
  <c r="L80" i="1" s="1"/>
  <c r="M76" i="1"/>
  <c r="M80" i="1" s="1"/>
  <c r="H76" i="1"/>
  <c r="H80" i="1" s="1"/>
  <c r="H81" i="1" s="1"/>
  <c r="G76" i="1"/>
  <c r="G80" i="1" s="1"/>
  <c r="G81" i="1" s="1"/>
  <c r="I76" i="1"/>
  <c r="I80" i="1" s="1"/>
  <c r="I81" i="1" s="1"/>
  <c r="R78" i="1" l="1"/>
  <c r="S78" i="1" s="1"/>
  <c r="K82" i="1"/>
  <c r="K81" i="1"/>
  <c r="R77" i="1"/>
  <c r="S77" i="1" s="1"/>
  <c r="J82" i="1"/>
  <c r="J81" i="1"/>
  <c r="M81" i="1"/>
  <c r="R80" i="1"/>
  <c r="S80" i="1" s="1"/>
  <c r="L81" i="1"/>
  <c r="R79" i="1"/>
  <c r="S79" i="1" s="1"/>
  <c r="F80" i="1"/>
  <c r="F81" i="1" s="1"/>
  <c r="L82" i="1"/>
  <c r="H82" i="1"/>
  <c r="M82" i="1"/>
  <c r="I82" i="1"/>
  <c r="G82" i="1"/>
  <c r="R75" i="1"/>
  <c r="S75" i="1" s="1"/>
  <c r="R76" i="1"/>
  <c r="S76" i="1" s="1"/>
  <c r="R74" i="1"/>
  <c r="S74" i="1" s="1"/>
  <c r="T37" i="1"/>
  <c r="T38" i="1"/>
  <c r="T39" i="1"/>
  <c r="T36" i="1"/>
  <c r="T40" i="1"/>
  <c r="F82" i="1" l="1"/>
  <c r="T41" i="1"/>
  <c r="R73" i="1"/>
  <c r="S7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C4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- Check yes if it’s a subassembly, no if not.
- This will change the formulas applied to the item/process
- row/process name must be the p/n of the subassembly for this to work
- this only supports up to 12 subassemblies at the moment</t>
        </r>
      </text>
    </comment>
    <comment ref="B6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7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78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C13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 xml:space="preserve">In minutes
</t>
        </r>
      </text>
    </comment>
    <comment ref="E13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* $/minute
*based on projected Labor Rates without burden</t>
        </r>
      </text>
    </comment>
    <comment ref="F13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Insert quantities here and it will update them everywhere else</t>
        </r>
      </text>
    </comment>
    <comment ref="N28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Used to contain burdened set-up price. No longer used in Amortized calculation. 
To add it back to the calculation add this value to cell L29</t>
        </r>
      </text>
    </comment>
    <comment ref="N32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Amortizes the matl burden row over the quantity of each column</t>
        </r>
      </text>
    </comment>
    <comment ref="B53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 xml:space="preserve">sum of matl, processes, and labor costs.
</t>
        </r>
      </text>
    </comment>
    <comment ref="N60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Used for amortized calculation.
Amortized amount is this cell divided by the quantity of the column.</t>
        </r>
      </text>
    </comment>
    <comment ref="D62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Flat amount, not affected by margin, G&amp;A, etc.</t>
        </r>
      </text>
    </comment>
  </commentList>
</comments>
</file>

<file path=xl/sharedStrings.xml><?xml version="1.0" encoding="utf-8"?>
<sst xmlns="http://schemas.openxmlformats.org/spreadsheetml/2006/main" count="876" uniqueCount="124">
  <si>
    <t>COST ESTIMATED QUANTITIES</t>
  </si>
  <si>
    <t>LABOR RATE</t>
  </si>
  <si>
    <t>Labor</t>
  </si>
  <si>
    <t>T. setup</t>
  </si>
  <si>
    <t>T.RUN</t>
  </si>
  <si>
    <t>Basic LABOR</t>
  </si>
  <si>
    <t>hrs</t>
  </si>
  <si>
    <t>BURDEN</t>
  </si>
  <si>
    <t>Total</t>
  </si>
  <si>
    <t>RAW MATERIALS &amp; HARDWARE</t>
  </si>
  <si>
    <t>SET-UP TIME</t>
  </si>
  <si>
    <t>RUN TIME</t>
  </si>
  <si>
    <t>PARTS QTY</t>
  </si>
  <si>
    <t>UNIT PRICE</t>
  </si>
  <si>
    <t>MAT'l BURDEN</t>
  </si>
  <si>
    <t>MATERIAL &amp; HARDWARE TOTAL</t>
  </si>
  <si>
    <t>PROCESSES TOTAL</t>
  </si>
  <si>
    <t>M+L Subtotal</t>
  </si>
  <si>
    <t>LABOR  G&amp;A</t>
  </si>
  <si>
    <t>SUBTOTAL</t>
  </si>
  <si>
    <t>LABOR PROFIT</t>
  </si>
  <si>
    <t>MARGIN</t>
  </si>
  <si>
    <t>MAT'ls &amp;HARDWARE G&amp;A</t>
  </si>
  <si>
    <t>CUSTOMER:</t>
  </si>
  <si>
    <t>REV:</t>
  </si>
  <si>
    <t>P/N:</t>
  </si>
  <si>
    <t>QUOTE LOG No.:</t>
  </si>
  <si>
    <t>QTY:</t>
  </si>
  <si>
    <t>DATE:</t>
  </si>
  <si>
    <t>ESTIMATOR:</t>
  </si>
  <si>
    <t>NRE/SET-UP</t>
  </si>
  <si>
    <t>SETUP $</t>
  </si>
  <si>
    <t>RUN$ EA.</t>
  </si>
  <si>
    <t>LABOR</t>
  </si>
  <si>
    <t xml:space="preserve">MAT'ls &amp;HARDWARE </t>
  </si>
  <si>
    <t xml:space="preserve"> PROCESS </t>
  </si>
  <si>
    <t>NSN #:</t>
  </si>
  <si>
    <t>SOL #:</t>
  </si>
  <si>
    <t>RFQ #:</t>
  </si>
  <si>
    <t>AMORTIZED</t>
  </si>
  <si>
    <t>QTY</t>
  </si>
  <si>
    <t>Subtotal</t>
  </si>
  <si>
    <t>MANUFACTURING OPERATIONS</t>
  </si>
  <si>
    <t>Facilities</t>
  </si>
  <si>
    <t>REFERENCE</t>
  </si>
  <si>
    <t>NRESC/TOOLING</t>
  </si>
  <si>
    <t>SETUPS</t>
  </si>
  <si>
    <t>FAIR</t>
  </si>
  <si>
    <t>SOURCE</t>
  </si>
  <si>
    <t>MAT'ls &amp;HARDWARE PROFIT</t>
  </si>
  <si>
    <t>PROCESS PROFIT</t>
  </si>
  <si>
    <t>PROCESS G&amp;A</t>
  </si>
  <si>
    <t>Mill/Turn</t>
  </si>
  <si>
    <t>PROCESSES/COMPONENTS</t>
  </si>
  <si>
    <t>Subassy?</t>
  </si>
  <si>
    <t>Totals</t>
  </si>
  <si>
    <t>Total Costs</t>
  </si>
  <si>
    <t>Labor Costs</t>
  </si>
  <si>
    <t>Subassemblies Totals Before Profit + G&amp;A</t>
  </si>
  <si>
    <t>Amortize/ Min Buy</t>
  </si>
  <si>
    <t>Unit</t>
  </si>
  <si>
    <t>Ext. Cost</t>
  </si>
  <si>
    <t>Total Value</t>
  </si>
  <si>
    <t>Labor Rate Year:</t>
  </si>
  <si>
    <t>Matl UoM</t>
  </si>
  <si>
    <t>Parts QTY</t>
  </si>
  <si>
    <t>Unit Price</t>
  </si>
  <si>
    <t>Matl Burden</t>
  </si>
  <si>
    <t>Raw Materials &amp; Hardware</t>
  </si>
  <si>
    <t>Processes</t>
  </si>
  <si>
    <t>Misc values:</t>
  </si>
  <si>
    <t>Rate lookup value:</t>
  </si>
  <si>
    <t>Program</t>
  </si>
  <si>
    <t>Fixtures</t>
  </si>
  <si>
    <t>Metals - Mills</t>
  </si>
  <si>
    <t>Metals - Lathe</t>
  </si>
  <si>
    <t>Rubber Mold</t>
  </si>
  <si>
    <t>Plastic Injection Mold</t>
  </si>
  <si>
    <t>Plastic Compression Mold</t>
  </si>
  <si>
    <t>Assembly, Die Punch, Deburr</t>
  </si>
  <si>
    <t>Waterjet - Setup</t>
  </si>
  <si>
    <t>Waterjet - Operator</t>
  </si>
  <si>
    <t>Gross Margin</t>
  </si>
  <si>
    <t>Material % of Price</t>
  </si>
  <si>
    <t>Yield %:</t>
  </si>
  <si>
    <t>Comments:</t>
  </si>
  <si>
    <t>Yield</t>
  </si>
  <si>
    <t>Amortized</t>
  </si>
  <si>
    <t>Matl &amp; Hardware</t>
  </si>
  <si>
    <t>Process</t>
  </si>
  <si>
    <t>Sell Price</t>
  </si>
  <si>
    <t>Sales/Management Markup</t>
  </si>
  <si>
    <t>Quality Inspection</t>
  </si>
  <si>
    <t>ID &amp; Pack</t>
  </si>
  <si>
    <t>Calendering</t>
  </si>
  <si>
    <t>Fabric Priming</t>
  </si>
  <si>
    <t>Hand Cutting</t>
  </si>
  <si>
    <t>CNC Cutting (Gunnar)</t>
  </si>
  <si>
    <t>Extruding</t>
  </si>
  <si>
    <t>Insert Prep (Sand/Degrease/Prime)</t>
  </si>
  <si>
    <t>Press Setup</t>
  </si>
  <si>
    <t>Layup</t>
  </si>
  <si>
    <t>Cure</t>
  </si>
  <si>
    <t>Detool + Chilling</t>
  </si>
  <si>
    <t>Deflash/Trim</t>
  </si>
  <si>
    <t>Setup (Supervisor)</t>
  </si>
  <si>
    <t>Testing</t>
  </si>
  <si>
    <t>Loading</t>
  </si>
  <si>
    <t>Die Punch</t>
  </si>
  <si>
    <t>Milling</t>
  </si>
  <si>
    <t>Admin/Setup</t>
  </si>
  <si>
    <t>Splicing</t>
  </si>
  <si>
    <t>Bond Room</t>
  </si>
  <si>
    <t>Quality</t>
  </si>
  <si>
    <t>Burn Holes</t>
  </si>
  <si>
    <t>Heat Seal</t>
  </si>
  <si>
    <t>Mold/Tooling</t>
  </si>
  <si>
    <t>Fixtures (Purchase)</t>
  </si>
  <si>
    <t>Rubber Assembly</t>
  </si>
  <si>
    <t>2023</t>
  </si>
  <si>
    <t>2025</t>
  </si>
  <si>
    <t>2026</t>
  </si>
  <si>
    <t>2028</t>
  </si>
  <si>
    <t>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</si>
</sst>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&quot;$&quot;#,##0.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sz val="8"/>
      <color rgb="FF000000"/>
      <name val="Tahoma"/>
      <family val="2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39">
    <xf numFmtId="0" fontId="0" fillId="0" borderId="0" xfId="0"/>
    <xf numFmtId="0" fontId="0" fillId="0" borderId="8" xfId="0" applyBorder="1"/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1" xfId="0" applyBorder="1"/>
    <xf numFmtId="0" fontId="0" fillId="0" borderId="18" xfId="0" applyBorder="1"/>
    <xf numFmtId="0" fontId="2" fillId="0" borderId="2" xfId="0" applyFont="1" applyBorder="1"/>
    <xf numFmtId="0" fontId="2" fillId="0" borderId="3" xfId="0" applyFont="1" applyBorder="1"/>
    <xf numFmtId="0" fontId="2" fillId="0" borderId="0" xfId="0" applyFont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5" xfId="0" applyFont="1" applyBorder="1"/>
    <xf numFmtId="2" fontId="2" fillId="0" borderId="5" xfId="0" applyNumberFormat="1" applyFont="1" applyBorder="1"/>
    <xf numFmtId="2" fontId="2" fillId="0" borderId="12" xfId="0" applyNumberFormat="1" applyFont="1" applyBorder="1"/>
    <xf numFmtId="0" fontId="2" fillId="0" borderId="4" xfId="0" applyFont="1" applyBorder="1" applyAlignment="1">
      <alignment horizontal="right"/>
    </xf>
    <xf numFmtId="2" fontId="2" fillId="0" borderId="3" xfId="0" applyNumberFormat="1" applyFont="1" applyBorder="1"/>
    <xf numFmtId="0" fontId="2" fillId="2" borderId="5" xfId="0" applyFont="1" applyFill="1" applyBorder="1"/>
    <xf numFmtId="0" fontId="2" fillId="2" borderId="0" xfId="0" applyFont="1" applyFill="1"/>
    <xf numFmtId="2" fontId="2" fillId="0" borderId="0" xfId="0" applyNumberFormat="1" applyFont="1"/>
    <xf numFmtId="0" fontId="3" fillId="0" borderId="6" xfId="0" applyFont="1" applyBorder="1"/>
    <xf numFmtId="2" fontId="3" fillId="0" borderId="0" xfId="0" applyNumberFormat="1" applyFont="1"/>
    <xf numFmtId="2" fontId="3" fillId="0" borderId="6" xfId="0" applyNumberFormat="1" applyFont="1" applyBorder="1"/>
    <xf numFmtId="0" fontId="2" fillId="0" borderId="7" xfId="0" applyFont="1" applyBorder="1"/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2" fontId="0" fillId="0" borderId="0" xfId="0" applyNumberFormat="1"/>
    <xf numFmtId="9" fontId="4" fillId="0" borderId="0" xfId="0" applyNumberFormat="1" applyFont="1" applyAlignment="1">
      <alignment horizontal="right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20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0" xfId="0" applyProtection="1">
      <protection locked="0"/>
    </xf>
    <xf numFmtId="2" fontId="2" fillId="0" borderId="12" xfId="0" applyNumberFormat="1" applyFont="1" applyBorder="1" applyProtection="1">
      <protection locked="0"/>
    </xf>
    <xf numFmtId="2" fontId="2" fillId="0" borderId="13" xfId="0" applyNumberFormat="1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0" xfId="0" applyFont="1" applyProtection="1">
      <protection locked="0"/>
    </xf>
    <xf numFmtId="0" fontId="2" fillId="0" borderId="10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0" fillId="0" borderId="13" xfId="0" applyBorder="1" applyProtection="1">
      <protection locked="0"/>
    </xf>
    <xf numFmtId="0" fontId="0" fillId="0" borderId="22" xfId="0" applyBorder="1" applyProtection="1">
      <protection locked="0"/>
    </xf>
    <xf numFmtId="0" fontId="0" fillId="0" borderId="23" xfId="0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3" fillId="0" borderId="2" xfId="0" applyFont="1" applyBorder="1" applyAlignment="1">
      <alignment horizontal="left"/>
    </xf>
    <xf numFmtId="1" fontId="2" fillId="0" borderId="5" xfId="0" applyNumberFormat="1" applyFont="1" applyBorder="1" applyProtection="1">
      <protection locked="0" hidden="1"/>
    </xf>
    <xf numFmtId="1" fontId="2" fillId="0" borderId="0" xfId="0" applyNumberFormat="1" applyFont="1" applyProtection="1">
      <protection locked="0"/>
    </xf>
    <xf numFmtId="1" fontId="2" fillId="0" borderId="6" xfId="0" applyNumberFormat="1" applyFont="1" applyBorder="1" applyProtection="1">
      <protection locked="0"/>
    </xf>
    <xf numFmtId="0" fontId="2" fillId="3" borderId="0" xfId="0" applyFont="1" applyFill="1" applyProtection="1">
      <protection locked="0"/>
    </xf>
    <xf numFmtId="0" fontId="2" fillId="3" borderId="10" xfId="0" applyFont="1" applyFill="1" applyBorder="1" applyProtection="1">
      <protection locked="0"/>
    </xf>
    <xf numFmtId="0" fontId="2" fillId="3" borderId="14" xfId="0" applyFont="1" applyFill="1" applyBorder="1" applyProtection="1">
      <protection locked="0"/>
    </xf>
    <xf numFmtId="2" fontId="2" fillId="3" borderId="5" xfId="0" applyNumberFormat="1" applyFont="1" applyFill="1" applyBorder="1"/>
    <xf numFmtId="2" fontId="2" fillId="3" borderId="12" xfId="0" applyNumberFormat="1" applyFont="1" applyFill="1" applyBorder="1"/>
    <xf numFmtId="0" fontId="2" fillId="3" borderId="4" xfId="0" applyFont="1" applyFill="1" applyBorder="1"/>
    <xf numFmtId="2" fontId="2" fillId="0" borderId="6" xfId="0" applyNumberFormat="1" applyFont="1" applyBorder="1"/>
    <xf numFmtId="2" fontId="2" fillId="0" borderId="4" xfId="0" applyNumberFormat="1" applyFont="1" applyBorder="1"/>
    <xf numFmtId="0" fontId="3" fillId="0" borderId="0" xfId="0" applyFont="1" applyAlignment="1" applyProtection="1">
      <alignment horizontal="left"/>
      <protection locked="0"/>
    </xf>
    <xf numFmtId="1" fontId="2" fillId="0" borderId="0" xfId="0" applyNumberFormat="1" applyFont="1" applyAlignment="1" applyProtection="1">
      <alignment horizontal="left"/>
      <protection locked="0"/>
    </xf>
    <xf numFmtId="0" fontId="0" fillId="0" borderId="0" xfId="0" applyAlignment="1">
      <alignment horizontal="left"/>
    </xf>
    <xf numFmtId="164" fontId="2" fillId="0" borderId="0" xfId="0" applyNumberFormat="1" applyFont="1" applyAlignment="1" applyProtection="1">
      <alignment horizontal="left"/>
      <protection locked="0"/>
    </xf>
    <xf numFmtId="2" fontId="0" fillId="0" borderId="5" xfId="0" applyNumberFormat="1" applyBorder="1"/>
    <xf numFmtId="2" fontId="2" fillId="0" borderId="11" xfId="0" applyNumberFormat="1" applyFont="1" applyBorder="1"/>
    <xf numFmtId="0" fontId="2" fillId="0" borderId="11" xfId="0" applyFont="1" applyBorder="1"/>
    <xf numFmtId="0" fontId="2" fillId="0" borderId="12" xfId="0" applyFont="1" applyBorder="1"/>
    <xf numFmtId="2" fontId="1" fillId="0" borderId="13" xfId="0" applyNumberFormat="1" applyFont="1" applyBorder="1"/>
    <xf numFmtId="0" fontId="0" fillId="0" borderId="3" xfId="0" applyBorder="1"/>
    <xf numFmtId="0" fontId="0" fillId="0" borderId="0" xfId="0" applyAlignment="1">
      <alignment horizontal="right"/>
    </xf>
    <xf numFmtId="9" fontId="0" fillId="0" borderId="0" xfId="0" applyNumberFormat="1" applyAlignment="1">
      <alignment horizontal="right"/>
    </xf>
    <xf numFmtId="0" fontId="1" fillId="0" borderId="8" xfId="0" applyFont="1" applyBorder="1" applyAlignment="1">
      <alignment horizontal="right"/>
    </xf>
    <xf numFmtId="2" fontId="3" fillId="0" borderId="13" xfId="0" applyNumberFormat="1" applyFont="1" applyBorder="1"/>
    <xf numFmtId="0" fontId="0" fillId="0" borderId="3" xfId="0" applyBorder="1" applyAlignment="1">
      <alignment horizontal="right"/>
    </xf>
    <xf numFmtId="10" fontId="0" fillId="0" borderId="7" xfId="0" applyNumberFormat="1" applyBorder="1"/>
    <xf numFmtId="10" fontId="0" fillId="0" borderId="8" xfId="0" applyNumberFormat="1" applyBorder="1"/>
    <xf numFmtId="10" fontId="0" fillId="0" borderId="9" xfId="0" applyNumberFormat="1" applyBorder="1"/>
    <xf numFmtId="2" fontId="2" fillId="0" borderId="2" xfId="0" applyNumberFormat="1" applyFont="1" applyBorder="1"/>
    <xf numFmtId="2" fontId="0" fillId="0" borderId="12" xfId="0" applyNumberFormat="1" applyBorder="1"/>
    <xf numFmtId="2" fontId="0" fillId="0" borderId="1" xfId="0" applyNumberFormat="1" applyBorder="1"/>
    <xf numFmtId="1" fontId="2" fillId="0" borderId="8" xfId="0" applyNumberFormat="1" applyFont="1" applyBorder="1" applyProtection="1">
      <protection locked="0"/>
    </xf>
    <xf numFmtId="2" fontId="1" fillId="4" borderId="1" xfId="0" applyNumberFormat="1" applyFont="1" applyFill="1" applyBorder="1"/>
    <xf numFmtId="0" fontId="0" fillId="0" borderId="0" xfId="0" applyAlignment="1">
      <alignment horizontal="center"/>
    </xf>
    <xf numFmtId="2" fontId="0" fillId="0" borderId="6" xfId="0" applyNumberFormat="1" applyBorder="1"/>
    <xf numFmtId="0" fontId="0" fillId="0" borderId="13" xfId="0" applyBorder="1"/>
    <xf numFmtId="2" fontId="0" fillId="0" borderId="13" xfId="1" applyNumberFormat="1" applyFont="1" applyBorder="1"/>
    <xf numFmtId="2" fontId="0" fillId="0" borderId="9" xfId="1" applyNumberFormat="1" applyFont="1" applyBorder="1"/>
    <xf numFmtId="0" fontId="9" fillId="0" borderId="3" xfId="0" applyFont="1" applyBorder="1" applyAlignment="1">
      <alignment horizontal="right"/>
    </xf>
    <xf numFmtId="2" fontId="9" fillId="0" borderId="2" xfId="0" applyNumberFormat="1" applyFont="1" applyBorder="1"/>
    <xf numFmtId="2" fontId="9" fillId="0" borderId="3" xfId="0" applyNumberFormat="1" applyFont="1" applyBorder="1"/>
    <xf numFmtId="2" fontId="9" fillId="0" borderId="4" xfId="0" applyNumberFormat="1" applyFont="1" applyBorder="1"/>
    <xf numFmtId="0" fontId="0" fillId="6" borderId="1" xfId="0" applyFill="1" applyBorder="1"/>
    <xf numFmtId="0" fontId="3" fillId="6" borderId="19" xfId="0" applyFont="1" applyFill="1" applyBorder="1" applyAlignment="1">
      <alignment wrapText="1"/>
    </xf>
    <xf numFmtId="0" fontId="3" fillId="6" borderId="16" xfId="0" applyFont="1" applyFill="1" applyBorder="1" applyAlignment="1">
      <alignment wrapText="1"/>
    </xf>
    <xf numFmtId="0" fontId="2" fillId="6" borderId="16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0" fillId="6" borderId="21" xfId="0" applyFill="1" applyBorder="1" applyProtection="1">
      <protection locked="0"/>
    </xf>
    <xf numFmtId="0" fontId="0" fillId="6" borderId="17" xfId="0" applyFill="1" applyBorder="1" applyProtection="1">
      <protection locked="0"/>
    </xf>
    <xf numFmtId="2" fontId="2" fillId="6" borderId="16" xfId="0" applyNumberFormat="1" applyFont="1" applyFill="1" applyBorder="1" applyProtection="1">
      <protection locked="0"/>
    </xf>
    <xf numFmtId="2" fontId="2" fillId="6" borderId="17" xfId="0" applyNumberFormat="1" applyFont="1" applyFill="1" applyBorder="1" applyProtection="1">
      <protection locked="0"/>
    </xf>
    <xf numFmtId="2" fontId="2" fillId="6" borderId="18" xfId="0" applyNumberFormat="1" applyFont="1" applyFill="1" applyBorder="1" applyProtection="1">
      <protection locked="0"/>
    </xf>
    <xf numFmtId="0" fontId="2" fillId="6" borderId="17" xfId="0" applyFont="1" applyFill="1" applyBorder="1" applyAlignment="1">
      <alignment wrapText="1"/>
    </xf>
    <xf numFmtId="0" fontId="2" fillId="6" borderId="18" xfId="0" applyFont="1" applyFill="1" applyBorder="1"/>
    <xf numFmtId="0" fontId="2" fillId="6" borderId="1" xfId="0" applyFont="1" applyFill="1" applyBorder="1"/>
    <xf numFmtId="0" fontId="2" fillId="6" borderId="1" xfId="0" applyFont="1" applyFill="1" applyBorder="1" applyAlignment="1">
      <alignment wrapText="1"/>
    </xf>
    <xf numFmtId="0" fontId="5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" fontId="2" fillId="0" borderId="0" xfId="0" applyNumberFormat="1" applyFont="1" applyProtection="1">
      <protection locked="0" hidden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2" fontId="2" fillId="0" borderId="0" xfId="0" applyNumberFormat="1" applyFont="1" applyProtection="1">
      <protection locked="0"/>
    </xf>
    <xf numFmtId="2" fontId="1" fillId="0" borderId="0" xfId="0" applyNumberFormat="1" applyFont="1"/>
    <xf numFmtId="0" fontId="0" fillId="5" borderId="0" xfId="0" applyFill="1"/>
    <xf numFmtId="2" fontId="2" fillId="5" borderId="0" xfId="0" applyNumberFormat="1" applyFont="1" applyFill="1"/>
    <xf numFmtId="2" fontId="7" fillId="4" borderId="0" xfId="0" applyNumberFormat="1" applyFont="1" applyFill="1"/>
    <xf numFmtId="9" fontId="2" fillId="0" borderId="0" xfId="0" applyNumberFormat="1" applyFont="1"/>
    <xf numFmtId="0" fontId="0" fillId="6" borderId="16" xfId="0" applyFill="1" applyBorder="1" applyProtection="1">
      <protection locked="0"/>
    </xf>
    <xf numFmtId="2" fontId="2" fillId="6" borderId="1" xfId="0" applyNumberFormat="1" applyFont="1" applyFill="1" applyBorder="1" applyProtection="1">
      <protection locked="0"/>
    </xf>
    <xf numFmtId="0" fontId="0" fillId="0" borderId="5" xfId="0" applyBorder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2" fontId="2" fillId="0" borderId="5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0" fontId="0" fillId="0" borderId="5" xfId="0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5" xfId="0" applyFont="1" applyBorder="1" applyAlignment="1" applyProtection="1">
      <alignment horizontal="right"/>
      <protection locked="0"/>
    </xf>
    <xf numFmtId="0" fontId="2" fillId="0" borderId="7" xfId="0" applyFont="1" applyBorder="1" applyAlignment="1" applyProtection="1">
      <alignment horizontal="right"/>
      <protection locked="0"/>
    </xf>
    <xf numFmtId="0" fontId="2" fillId="0" borderId="8" xfId="0" applyFont="1" applyBorder="1" applyProtection="1">
      <protection locked="0"/>
    </xf>
    <xf numFmtId="165" fontId="0" fillId="0" borderId="15" xfId="0" applyNumberFormat="1" applyBorder="1" applyProtection="1">
      <protection locked="0"/>
    </xf>
    <xf numFmtId="165" fontId="0" fillId="0" borderId="0" xfId="0" applyNumberFormat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15" xfId="1" applyNumberFormat="1" applyFont="1" applyBorder="1" applyProtection="1">
      <protection locked="0"/>
    </xf>
    <xf numFmtId="165" fontId="0" fillId="0" borderId="23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0" fontId="2" fillId="3" borderId="5" xfId="0" applyFont="1" applyFill="1" applyBorder="1"/>
    <xf numFmtId="0" fontId="1" fillId="0" borderId="0" xfId="0" applyFont="1" applyAlignment="1">
      <alignment horizontal="right"/>
    </xf>
    <xf numFmtId="0" fontId="10" fillId="0" borderId="15" xfId="0" applyFont="1" applyBorder="1" applyProtection="1">
      <protection locked="0"/>
    </xf>
    <xf numFmtId="44" fontId="2" fillId="0" borderId="15" xfId="2" applyFont="1" applyBorder="1" applyAlignment="1" applyProtection="1">
      <alignment horizontal="left"/>
      <protection locked="0"/>
    </xf>
    <xf numFmtId="44" fontId="2" fillId="0" borderId="25" xfId="2" applyFont="1" applyBorder="1" applyAlignment="1" applyProtection="1">
      <alignment horizontal="left"/>
      <protection locked="0"/>
    </xf>
    <xf numFmtId="44" fontId="2" fillId="0" borderId="24" xfId="2" applyFont="1" applyBorder="1" applyAlignment="1" applyProtection="1">
      <alignment horizontal="left"/>
      <protection locked="0"/>
    </xf>
    <xf numFmtId="0" fontId="2" fillId="5" borderId="27" xfId="0" applyFont="1" applyFill="1" applyBorder="1" applyAlignment="1">
      <alignment horizontal="right"/>
    </xf>
    <xf numFmtId="44" fontId="2" fillId="5" borderId="28" xfId="0" applyNumberFormat="1" applyFont="1" applyFill="1" applyBorder="1" applyProtection="1">
      <protection locked="0"/>
    </xf>
    <xf numFmtId="44" fontId="2" fillId="5" borderId="25" xfId="0" applyNumberFormat="1" applyFont="1" applyFill="1" applyBorder="1" applyProtection="1">
      <protection locked="0"/>
    </xf>
    <xf numFmtId="44" fontId="2" fillId="0" borderId="29" xfId="2" applyFont="1" applyBorder="1" applyAlignment="1" applyProtection="1">
      <alignment horizontal="left"/>
      <protection locked="0"/>
    </xf>
    <xf numFmtId="0" fontId="3" fillId="5" borderId="25" xfId="0" applyFont="1" applyFill="1" applyBorder="1" applyAlignment="1">
      <alignment horizontal="left"/>
    </xf>
    <xf numFmtId="1" fontId="3" fillId="5" borderId="25" xfId="0" applyNumberFormat="1" applyFont="1" applyFill="1" applyBorder="1" applyAlignment="1" applyProtection="1">
      <alignment horizontal="center"/>
      <protection locked="0"/>
    </xf>
    <xf numFmtId="0" fontId="3" fillId="5" borderId="25" xfId="0" applyFont="1" applyFill="1" applyBorder="1" applyAlignment="1">
      <alignment horizontal="center"/>
    </xf>
    <xf numFmtId="0" fontId="3" fillId="5" borderId="25" xfId="0" applyFont="1" applyFill="1" applyBorder="1" applyAlignment="1" applyProtection="1">
      <alignment horizontal="center"/>
      <protection locked="0"/>
    </xf>
    <xf numFmtId="0" fontId="3" fillId="5" borderId="26" xfId="0" applyFont="1" applyFill="1" applyBorder="1" applyAlignment="1" applyProtection="1">
      <alignment horizontal="center"/>
      <protection locked="0"/>
    </xf>
    <xf numFmtId="1" fontId="2" fillId="0" borderId="0" xfId="0" applyNumberFormat="1" applyFont="1" applyAlignment="1">
      <alignment horizontal="left"/>
    </xf>
    <xf numFmtId="1" fontId="2" fillId="0" borderId="25" xfId="0" applyNumberFormat="1" applyFont="1" applyBorder="1" applyAlignment="1">
      <alignment horizontal="left"/>
    </xf>
    <xf numFmtId="1" fontId="2" fillId="0" borderId="24" xfId="0" applyNumberFormat="1" applyFont="1" applyBorder="1" applyAlignment="1">
      <alignment horizontal="left"/>
    </xf>
    <xf numFmtId="1" fontId="2" fillId="0" borderId="27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31" xfId="0" applyFont="1" applyBorder="1" applyProtection="1">
      <protection locked="0"/>
    </xf>
    <xf numFmtId="0" fontId="0" fillId="6" borderId="18" xfId="0" applyFill="1" applyBorder="1" applyAlignment="1">
      <alignment horizontal="center" wrapText="1"/>
    </xf>
    <xf numFmtId="2" fontId="14" fillId="0" borderId="12" xfId="0" applyNumberFormat="1" applyFont="1" applyBorder="1" applyProtection="1">
      <protection locked="0"/>
    </xf>
    <xf numFmtId="2" fontId="14" fillId="0" borderId="13" xfId="0" applyNumberFormat="1" applyFont="1" applyBorder="1" applyProtection="1">
      <protection locked="0"/>
    </xf>
    <xf numFmtId="2" fontId="7" fillId="0" borderId="0" xfId="0" applyNumberFormat="1" applyFont="1"/>
    <xf numFmtId="0" fontId="1" fillId="0" borderId="0" xfId="0" applyFont="1"/>
    <xf numFmtId="0" fontId="0" fillId="0" borderId="0" xfId="0" applyAlignment="1">
      <alignment vertical="center"/>
    </xf>
    <xf numFmtId="0" fontId="15" fillId="0" borderId="15" xfId="0" applyFont="1" applyBorder="1" applyProtection="1">
      <protection locked="0"/>
    </xf>
    <xf numFmtId="1" fontId="0" fillId="0" borderId="11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0" fontId="0" fillId="0" borderId="25" xfId="0" applyBorder="1" applyProtection="1">
      <protection locked="0"/>
    </xf>
    <xf numFmtId="44" fontId="0" fillId="0" borderId="25" xfId="2" applyFont="1" applyBorder="1" applyProtection="1">
      <protection locked="0"/>
    </xf>
    <xf numFmtId="0" fontId="0" fillId="8" borderId="25" xfId="0" applyFill="1" applyBorder="1" applyProtection="1">
      <protection locked="0"/>
    </xf>
    <xf numFmtId="44" fontId="0" fillId="8" borderId="25" xfId="2" applyFont="1" applyFill="1" applyBorder="1" applyProtection="1">
      <protection locked="0"/>
    </xf>
    <xf numFmtId="0" fontId="1" fillId="5" borderId="25" xfId="0" applyFont="1" applyFill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17" fillId="0" borderId="0" xfId="0" applyFont="1"/>
    <xf numFmtId="49" fontId="2" fillId="0" borderId="0" xfId="0" applyNumberFormat="1" applyFont="1"/>
    <xf numFmtId="9" fontId="0" fillId="0" borderId="4" xfId="0" applyNumberFormat="1" applyBorder="1" applyAlignment="1">
      <alignment horizontal="right"/>
    </xf>
    <xf numFmtId="9" fontId="0" fillId="0" borderId="6" xfId="0" applyNumberFormat="1" applyBorder="1" applyAlignment="1">
      <alignment horizontal="right"/>
    </xf>
    <xf numFmtId="9" fontId="0" fillId="0" borderId="1" xfId="3" applyFont="1" applyBorder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9" fontId="2" fillId="0" borderId="0" xfId="3" applyFon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" fontId="2" fillId="0" borderId="6" xfId="0" applyNumberFormat="1" applyFont="1" applyBorder="1" applyAlignment="1" applyProtection="1">
      <alignment horizontal="left"/>
      <protection locked="0"/>
    </xf>
    <xf numFmtId="2" fontId="0" fillId="0" borderId="12" xfId="1" applyNumberFormat="1" applyFont="1" applyBorder="1"/>
    <xf numFmtId="2" fontId="0" fillId="0" borderId="6" xfId="1" applyNumberFormat="1" applyFont="1" applyBorder="1"/>
    <xf numFmtId="0" fontId="0" fillId="0" borderId="12" xfId="0" applyBorder="1"/>
    <xf numFmtId="0" fontId="0" fillId="0" borderId="9" xfId="0" applyBorder="1"/>
    <xf numFmtId="9" fontId="0" fillId="0" borderId="18" xfId="3" applyFont="1" applyBorder="1" applyAlignment="1">
      <alignment horizontal="right"/>
    </xf>
    <xf numFmtId="0" fontId="0" fillId="0" borderId="32" xfId="0" applyBorder="1"/>
    <xf numFmtId="0" fontId="19" fillId="0" borderId="0" xfId="0" applyFont="1" applyProtection="1">
      <protection locked="0"/>
    </xf>
    <xf numFmtId="165" fontId="0" fillId="0" borderId="0" xfId="1" applyNumberFormat="1" applyFont="1" applyFill="1" applyBorder="1" applyProtection="1">
      <protection locked="0"/>
    </xf>
    <xf numFmtId="0" fontId="2" fillId="0" borderId="12" xfId="0" applyFont="1" applyBorder="1" applyAlignment="1">
      <alignment horizontal="left"/>
    </xf>
    <xf numFmtId="1" fontId="0" fillId="0" borderId="25" xfId="0" applyNumberFormat="1" applyBorder="1" applyProtection="1">
      <protection locked="0"/>
    </xf>
    <xf numFmtId="0" fontId="13" fillId="7" borderId="30" xfId="0" applyFont="1" applyFill="1" applyBorder="1" applyAlignment="1">
      <alignment horizontal="center"/>
    </xf>
    <xf numFmtId="1" fontId="2" fillId="0" borderId="3" xfId="0" applyNumberFormat="1" applyFont="1" applyBorder="1" applyAlignment="1" applyProtection="1">
      <alignment horizontal="left"/>
      <protection locked="0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right" vertical="center"/>
    </xf>
    <xf numFmtId="1" fontId="2" fillId="0" borderId="0" xfId="0" applyNumberFormat="1" applyFont="1" applyAlignment="1" applyProtection="1">
      <alignment horizontal="left"/>
      <protection locked="0"/>
    </xf>
    <xf numFmtId="1" fontId="4" fillId="0" borderId="0" xfId="0" applyNumberFormat="1" applyFont="1" applyAlignment="1">
      <alignment horizontal="left"/>
    </xf>
    <xf numFmtId="0" fontId="1" fillId="4" borderId="16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0" fillId="9" borderId="1" xfId="0" applyFill="1" applyBorder="1" applyAlignment="1" applyProtection="1">
      <alignment horizontal="center"/>
      <protection locked="0"/>
    </xf>
    <xf numFmtId="0" fontId="16" fillId="5" borderId="25" xfId="0" applyFont="1" applyFill="1" applyBorder="1" applyAlignment="1" applyProtection="1">
      <alignment horizontal="center"/>
      <protection locked="0"/>
    </xf>
    <xf numFmtId="0" fontId="18" fillId="0" borderId="5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8" fillId="0" borderId="6" xfId="0" applyFont="1" applyBorder="1" applyAlignment="1">
      <alignment horizontal="left"/>
    </xf>
    <xf numFmtId="0" fontId="2" fillId="0" borderId="5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left" vertical="top" wrapText="1"/>
      <protection locked="0"/>
    </xf>
    <xf numFmtId="0" fontId="2" fillId="0" borderId="7" xfId="0" applyFont="1" applyBorder="1" applyAlignment="1" applyProtection="1">
      <alignment horizontal="left" vertical="top" wrapText="1"/>
      <protection locked="0"/>
    </xf>
    <xf numFmtId="0" fontId="2" fillId="0" borderId="8" xfId="0" applyFont="1" applyBorder="1" applyAlignment="1" applyProtection="1">
      <alignment horizontal="left" vertical="top" wrapText="1"/>
      <protection locked="0"/>
    </xf>
    <xf numFmtId="0" fontId="2" fillId="0" borderId="9" xfId="0" applyFont="1" applyBorder="1" applyAlignment="1" applyProtection="1">
      <alignment horizontal="left" vertical="top" wrapText="1"/>
      <protection locked="0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0" borderId="2" xfId="0" applyFont="1" applyBorder="1" applyAlignment="1">
      <alignment horizontal="left"/>
    </xf>
    <xf numFmtId="0" fontId="18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1" fillId="4" borderId="0" xfId="0" applyFont="1" applyFill="1" applyAlignment="1">
      <alignment horizontal="center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1" fontId="1" fillId="4" borderId="16" xfId="0" applyNumberFormat="1" applyFont="1" applyFill="1" applyBorder="1" applyAlignment="1">
      <alignment horizontal="center"/>
    </xf>
    <xf numFmtId="49" fontId="2" fillId="0" borderId="0" xfId="0" applyNumberFormat="1" applyFont="1" applyAlignment="1" applyProtection="1">
      <alignment horizontal="left"/>
      <protection locked="0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right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'Top Assy'!$B$3:$C$3</c:f>
          <c:strCache>
            <c:ptCount val="2"/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'Top Assy'!$T$35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'Top Assy'!$S$36:$S$41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'Top Assy'!$T$36:$T$41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95-4EBB-8D5E-FEAB7D0264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1284352"/>
        <c:axId val="131291008"/>
      </c:scatterChart>
      <c:valAx>
        <c:axId val="13128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1291008"/>
        <c:crosses val="autoZero"/>
        <c:crossBetween val="midCat"/>
      </c:valAx>
      <c:valAx>
        <c:axId val="131291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312843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1'!$B$3:$C$3</c:f>
          <c:strCache>
            <c:ptCount val="2"/>
            <c:pt idx="0">
              <c:v>1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1'!$T$35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1'!$S$36:$S$41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1'!$T$36:$T$41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6F-4AFF-9EA2-315ABB7A70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33020288"/>
        <c:axId val="150398080"/>
      </c:scatterChart>
      <c:valAx>
        <c:axId val="133020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50398080"/>
        <c:crosses val="autoZero"/>
        <c:crossBetween val="midCat"/>
      </c:valAx>
      <c:valAx>
        <c:axId val="1503980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330202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2'!$B$3:$C$3</c:f>
          <c:strCache>
            <c:ptCount val="2"/>
            <c:pt idx="0">
              <c:v>2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2'!$T$35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2'!$S$36:$S$41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2'!$T$36:$T$41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74-45D6-990D-D4C8DE1D84C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1028736"/>
        <c:axId val="182940800"/>
      </c:scatterChart>
      <c:valAx>
        <c:axId val="181028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2940800"/>
        <c:crosses val="autoZero"/>
        <c:crossBetween val="midCat"/>
      </c:valAx>
      <c:valAx>
        <c:axId val="182940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1028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3'!$B$3:$C$3</c:f>
          <c:strCache>
            <c:ptCount val="2"/>
            <c:pt idx="0">
              <c:v>3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3'!$T$35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3'!$S$36:$S$41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250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3'!$T$36:$T$41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4E-496C-8EA5-C4F05A40510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88637952"/>
        <c:axId val="188640256"/>
      </c:scatterChart>
      <c:valAx>
        <c:axId val="18863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8640256"/>
        <c:crosses val="autoZero"/>
        <c:crossBetween val="midCat"/>
      </c:valAx>
      <c:valAx>
        <c:axId val="188640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886379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4'!$B$3:$C$3</c:f>
          <c:strCache>
            <c:ptCount val="2"/>
            <c:pt idx="0">
              <c:v>4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4'!$T$35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4'!$S$36:$S$41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4'!$T$36:$T$41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94-49F8-B222-64B9298D9D3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5781760"/>
        <c:axId val="45783680"/>
      </c:scatterChart>
      <c:valAx>
        <c:axId val="45781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5783680"/>
        <c:crosses val="autoZero"/>
        <c:crossBetween val="midCat"/>
      </c:valAx>
      <c:valAx>
        <c:axId val="457836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57817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5'!$B$3:$C$3</c:f>
          <c:strCache>
            <c:ptCount val="2"/>
            <c:pt idx="0">
              <c:v>5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5'!$T$35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5'!$S$36:$S$41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5'!$T$36:$T$41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DE-4E0B-AEF5-77B23E59443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6600192"/>
        <c:axId val="46602112"/>
      </c:scatterChart>
      <c:valAx>
        <c:axId val="4660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602112"/>
        <c:crosses val="autoZero"/>
        <c:crossBetween val="midCat"/>
      </c:valAx>
      <c:valAx>
        <c:axId val="466021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66001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6'!$B$3:$C$3</c:f>
          <c:strCache>
            <c:ptCount val="2"/>
            <c:pt idx="0">
              <c:v>6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6'!$T$35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6'!$S$36:$S$41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6'!$T$36:$T$41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33-4F3A-99F9-B15E302A726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6615552"/>
        <c:axId val="46900352"/>
      </c:scatterChart>
      <c:valAx>
        <c:axId val="4661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46900352"/>
        <c:crosses val="autoZero"/>
        <c:crossBetween val="midCat"/>
      </c:valAx>
      <c:valAx>
        <c:axId val="46900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6615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7'!$B$3:$C$3</c:f>
          <c:strCache>
            <c:ptCount val="2"/>
            <c:pt idx="0">
              <c:v>7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7'!$T$35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7'!$S$36:$S$41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7'!$T$36:$T$41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4E-4B4F-A6E0-ACCB491ECF7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47155456"/>
        <c:axId val="96756096"/>
      </c:scatterChart>
      <c:valAx>
        <c:axId val="4715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756096"/>
        <c:crosses val="autoZero"/>
        <c:crossBetween val="midCat"/>
      </c:valAx>
      <c:valAx>
        <c:axId val="96756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471554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8'!$B$3:$C$3</c:f>
          <c:strCache>
            <c:ptCount val="2"/>
            <c:pt idx="0">
              <c:v>8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8'!$T$35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8'!$S$36:$S$41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8'!$T$36:$T$41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BE-47B3-AC0F-0DC470DDCE9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6790016"/>
        <c:axId val="96791936"/>
      </c:scatterChart>
      <c:valAx>
        <c:axId val="9679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791936"/>
        <c:crosses val="autoZero"/>
        <c:crossBetween val="midCat"/>
      </c:valAx>
      <c:valAx>
        <c:axId val="967919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67900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9'!$B$3:$C$3</c:f>
          <c:strCache>
            <c:ptCount val="2"/>
            <c:pt idx="0">
              <c:v>9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9'!$T$35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9'!$S$36:$S$41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9'!$T$36:$T$41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63-40B3-B525-A527C9961D4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8943744"/>
        <c:axId val="98945664"/>
      </c:scatterChart>
      <c:valAx>
        <c:axId val="989437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945664"/>
        <c:crosses val="autoZero"/>
        <c:crossBetween val="midCat"/>
      </c:valAx>
      <c:valAx>
        <c:axId val="98945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89437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10'!$B$3:$C$3</c:f>
          <c:strCache>
            <c:ptCount val="2"/>
            <c:pt idx="0">
              <c:v>10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10'!$T$35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10'!$S$36:$S$41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10'!$T$36:$T$41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8D-4CE5-B1C6-39C303FF2CD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9131392"/>
        <c:axId val="99133312"/>
      </c:scatterChart>
      <c:valAx>
        <c:axId val="9913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133312"/>
        <c:crosses val="autoZero"/>
        <c:crossBetween val="midCat"/>
      </c:valAx>
      <c:valAx>
        <c:axId val="991333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9131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11'!$B$3:$C$3</c:f>
          <c:strCache>
            <c:ptCount val="2"/>
            <c:pt idx="0">
              <c:v>11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11'!$T$35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11'!$S$36:$S$41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11'!$T$36:$T$41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41-4B76-98D6-A762F42D96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99154944"/>
        <c:axId val="128025728"/>
      </c:scatterChart>
      <c:valAx>
        <c:axId val="99154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025728"/>
        <c:crosses val="autoZero"/>
        <c:crossBetween val="midCat"/>
      </c:valAx>
      <c:valAx>
        <c:axId val="1280257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9915494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'Subassy 12'!$B$3:$C$3</c:f>
          <c:strCache>
            <c:ptCount val="2"/>
            <c:pt idx="0">
              <c:v>12</c:v>
            </c:pt>
          </c:strCache>
        </c:strRef>
      </c:tx>
      <c:layout>
        <c:manualLayout>
          <c:xMode val="edge"/>
          <c:yMode val="edge"/>
          <c:x val="0.43277777777777782"/>
          <c:y val="4.1071436271360381E-2"/>
        </c:manualLayout>
      </c:layout>
      <c:overlay val="0"/>
      <c:txPr>
        <a:bodyPr/>
        <a:lstStyle/>
        <a:p>
          <a:pPr>
            <a:defRPr/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'Subassy 12'!$T$35</c:f>
              <c:strCache>
                <c:ptCount val="1"/>
                <c:pt idx="0">
                  <c:v>Total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'Subassy 12'!$S$36:$S$41</c:f>
              <c:numCache>
                <c:formatCode>General</c:formatCode>
                <c:ptCount val="6"/>
                <c:pt idx="0">
                  <c:v>1000</c:v>
                </c:pt>
                <c:pt idx="1">
                  <c:v>500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</c:numCache>
            </c:numRef>
          </c:xVal>
          <c:yVal>
            <c:numRef>
              <c:f>'Subassy 12'!$T$36:$T$41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7A-45DB-AB8C-C307C5573C5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8060032"/>
        <c:axId val="128774912"/>
      </c:scatterChart>
      <c:valAx>
        <c:axId val="128060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8774912"/>
        <c:crosses val="autoZero"/>
        <c:crossBetween val="midCat"/>
      </c:valAx>
      <c:valAx>
        <c:axId val="1287749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Price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1280600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CheckBox" fmlaLink="$C$46" lockText="1" noThreeD="1"/>
</file>

<file path=xl/ctrlProps/ctrlProp2.xml><?xml version="1.0" encoding="utf-8"?>
<formControlPr xmlns="http://schemas.microsoft.com/office/spreadsheetml/2009/9/main" objectType="CheckBox" fmlaLink="$C$47" lockText="1" noThreeD="1"/>
</file>

<file path=xl/ctrlProps/ctrlProp3.xml><?xml version="1.0" encoding="utf-8"?>
<formControlPr xmlns="http://schemas.microsoft.com/office/spreadsheetml/2009/9/main" objectType="CheckBox" fmlaLink="$C$48" lockText="1" noThreeD="1"/>
</file>

<file path=xl/ctrlProps/ctrlProp4.xml><?xml version="1.0" encoding="utf-8"?>
<formControlPr xmlns="http://schemas.microsoft.com/office/spreadsheetml/2009/9/main" objectType="CheckBox" fmlaLink="$C$51" lockText="1" noThreeD="1"/>
</file>

<file path=xl/ctrlProps/ctrlProp5.xml><?xml version="1.0" encoding="utf-8"?>
<formControlPr xmlns="http://schemas.microsoft.com/office/spreadsheetml/2009/9/main" objectType="CheckBox" fmlaLink="$C$52" lockText="1" noThreeD="1"/>
</file>

<file path=xl/ctrlProps/ctrlProp6.xml><?xml version="1.0" encoding="utf-8"?>
<formControlPr xmlns="http://schemas.microsoft.com/office/spreadsheetml/2009/9/main" objectType="CheckBox" fmlaLink="$C$53" lockText="1" noThreeD="1"/>
</file>

<file path=xl/ctrlProps/ctrlProp7.xml><?xml version="1.0" encoding="utf-8"?>
<formControlPr xmlns="http://schemas.microsoft.com/office/spreadsheetml/2009/9/main" objectType="CheckBox" fmlaLink="$C$54" lockText="1" noThreeD="1"/>
</file>

<file path=xl/ctrlProps/ctrlProp8.xml><?xml version="1.0" encoding="utf-8"?>
<formControlPr xmlns="http://schemas.microsoft.com/office/spreadsheetml/2009/9/main" objectType="CheckBox" fmlaLink="$C$57" lockText="1" noThreeD="1"/>
</file>

<file path=xl/ctrlProps/ctrlProp9.xml><?xml version="1.0" encoding="utf-8"?>
<formControlPr xmlns="http://schemas.microsoft.com/office/spreadsheetml/2009/9/main" objectType="CheckBox" fmlaLink="$N$33" lockText="1" noThreeD="1"/>
</file>

<file path=xl/ctrlProps/ctrlProp10.xml><?xml version="1.0" encoding="utf-8"?>
<formControlPr xmlns="http://schemas.microsoft.com/office/spreadsheetml/2009/9/main" objectType="CheckBox" fmlaLink="$N$34" lockText="1" noThreeD="1"/>
</file>

<file path=xl/ctrlProps/ctrlProp11.xml><?xml version="1.0" encoding="utf-8"?>
<formControlPr xmlns="http://schemas.microsoft.com/office/spreadsheetml/2009/9/main" objectType="CheckBox" fmlaLink="$N$35" lockText="1" noThreeD="1"/>
</file>

<file path=xl/ctrlProps/ctrlProp12.xml><?xml version="1.0" encoding="utf-8"?>
<formControlPr xmlns="http://schemas.microsoft.com/office/spreadsheetml/2009/9/main" objectType="CheckBox" fmlaLink="$N$36" lockText="1" noThreeD="1"/>
</file>

<file path=xl/ctrlProps/ctrlProp13.xml><?xml version="1.0" encoding="utf-8"?>
<formControlPr xmlns="http://schemas.microsoft.com/office/spreadsheetml/2009/9/main" objectType="CheckBox" fmlaLink="$N$37" lockText="1" noThreeD="1"/>
</file>

<file path=xl/ctrlProps/ctrlProp14.xml><?xml version="1.0" encoding="utf-8"?>
<formControlPr xmlns="http://schemas.microsoft.com/office/spreadsheetml/2009/9/main" objectType="CheckBox" fmlaLink="$N$38" lockText="1" noThreeD="1"/>
</file>

<file path=xl/ctrlProps/ctrlProp15.xml><?xml version="1.0" encoding="utf-8"?>
<formControlPr xmlns="http://schemas.microsoft.com/office/spreadsheetml/2009/9/main" objectType="CheckBox" fmlaLink="$N$39" lockText="1" noThreeD="1"/>
</file>

<file path=xl/ctrlProps/ctrlProp16.xml><?xml version="1.0" encoding="utf-8"?>
<formControlPr xmlns="http://schemas.microsoft.com/office/spreadsheetml/2009/9/main" objectType="CheckBox" fmlaLink="$N$40" lockText="1" noThreeD="1"/>
</file>

<file path=xl/ctrlProps/ctrlProp17.xml><?xml version="1.0" encoding="utf-8"?>
<formControlPr xmlns="http://schemas.microsoft.com/office/spreadsheetml/2009/9/main" objectType="CheckBox" fmlaLink="$N$41" lockText="1" noThreeD="1"/>
</file>

<file path=xl/ctrlProps/ctrlProp18.xml><?xml version="1.0" encoding="utf-8"?>
<formControlPr xmlns="http://schemas.microsoft.com/office/spreadsheetml/2009/9/main" objectType="CheckBox" fmlaLink="$N$42" lockText="1" noThreeD="1"/>
</file>

<file path=xl/ctrlProps/ctrlProp19.xml><?xml version="1.0" encoding="utf-8"?>
<formControlPr xmlns="http://schemas.microsoft.com/office/spreadsheetml/2009/9/main" objectType="CheckBox" fmlaLink="$N$43" lockText="1" noThreeD="1"/>
</file>

<file path=xl/ctrlProps/ctrlProp20.xml><?xml version="1.0" encoding="utf-8"?>
<formControlPr xmlns="http://schemas.microsoft.com/office/spreadsheetml/2009/9/main" objectType="CheckBox" fmlaLink="$N$44" lockText="1" noThreeD="1"/>
</file>

<file path=xl/ctrlProps/ctrlProp21.xml><?xml version="1.0" encoding="utf-8"?>
<formControlPr xmlns="http://schemas.microsoft.com/office/spreadsheetml/2009/9/main" objectType="CheckBox" fmlaLink="$C$49" lockText="1" noThreeD="1"/>
</file>

<file path=xl/ctrlProps/ctrlProp22.xml><?xml version="1.0" encoding="utf-8"?>
<formControlPr xmlns="http://schemas.microsoft.com/office/spreadsheetml/2009/9/main" objectType="CheckBox" fmlaLink="$C$50" lockText="1" noThreeD="1"/>
</file>

<file path=xl/ctrlProps/ctrlProp23.xml><?xml version="1.0" encoding="utf-8"?>
<formControlPr xmlns="http://schemas.microsoft.com/office/spreadsheetml/2009/9/main" objectType="CheckBox" fmlaLink="$C$55" lockText="1" noThreeD="1"/>
</file>

<file path=xl/ctrlProps/ctrlProp24.xml><?xml version="1.0" encoding="utf-8"?>
<formControlPr xmlns="http://schemas.microsoft.com/office/spreadsheetml/2009/9/main" objectType="CheckBox" fmlaLink="$C$56" lockText="1" noThreeD="1"/>
</file>

<file path=xl/ctrlProps/ctrlProp25.xml><?xml version="1.0" encoding="utf-8"?>
<formControlPr xmlns="http://schemas.microsoft.com/office/spreadsheetml/2009/9/main" objectType="CheckBox" fmlaLink="$N$33" lockText="1" noThreeD="1"/>
</file>

<file path=xl/ctrlProps/ctrlProp26.xml><?xml version="1.0" encoding="utf-8"?>
<formControlPr xmlns="http://schemas.microsoft.com/office/spreadsheetml/2009/9/main" objectType="CheckBox" fmlaLink="$N$34" lockText="1" noThreeD="1"/>
</file>

<file path=xl/ctrlProps/ctrlProp27.xml><?xml version="1.0" encoding="utf-8"?>
<formControlPr xmlns="http://schemas.microsoft.com/office/spreadsheetml/2009/9/main" objectType="CheckBox" fmlaLink="$N$35" lockText="1" noThreeD="1"/>
</file>

<file path=xl/ctrlProps/ctrlProp28.xml><?xml version="1.0" encoding="utf-8"?>
<formControlPr xmlns="http://schemas.microsoft.com/office/spreadsheetml/2009/9/main" objectType="CheckBox" fmlaLink="$N$36" lockText="1" noThreeD="1"/>
</file>

<file path=xl/ctrlProps/ctrlProp29.xml><?xml version="1.0" encoding="utf-8"?>
<formControlPr xmlns="http://schemas.microsoft.com/office/spreadsheetml/2009/9/main" objectType="CheckBox" fmlaLink="$N$37" lockText="1" noThreeD="1"/>
</file>

<file path=xl/ctrlProps/ctrlProp30.xml><?xml version="1.0" encoding="utf-8"?>
<formControlPr xmlns="http://schemas.microsoft.com/office/spreadsheetml/2009/9/main" objectType="CheckBox" fmlaLink="$N$38" lockText="1" noThreeD="1"/>
</file>

<file path=xl/ctrlProps/ctrlProp31.xml><?xml version="1.0" encoding="utf-8"?>
<formControlPr xmlns="http://schemas.microsoft.com/office/spreadsheetml/2009/9/main" objectType="CheckBox" fmlaLink="$N$39" lockText="1" noThreeD="1"/>
</file>

<file path=xl/ctrlProps/ctrlProp32.xml><?xml version="1.0" encoding="utf-8"?>
<formControlPr xmlns="http://schemas.microsoft.com/office/spreadsheetml/2009/9/main" objectType="CheckBox" fmlaLink="$N$40" lockText="1" noThreeD="1"/>
</file>

<file path=xl/ctrlProps/ctrlProp33.xml><?xml version="1.0" encoding="utf-8"?>
<formControlPr xmlns="http://schemas.microsoft.com/office/spreadsheetml/2009/9/main" objectType="CheckBox" fmlaLink="$N$41" lockText="1" noThreeD="1"/>
</file>

<file path=xl/ctrlProps/ctrlProp34.xml><?xml version="1.0" encoding="utf-8"?>
<formControlPr xmlns="http://schemas.microsoft.com/office/spreadsheetml/2009/9/main" objectType="CheckBox" fmlaLink="$N$42" lockText="1" noThreeD="1"/>
</file>

<file path=xl/ctrlProps/ctrlProp35.xml><?xml version="1.0" encoding="utf-8"?>
<formControlPr xmlns="http://schemas.microsoft.com/office/spreadsheetml/2009/9/main" objectType="CheckBox" fmlaLink="$N$43" lockText="1" noThreeD="1"/>
</file>

<file path=xl/ctrlProps/ctrlProp36.xml><?xml version="1.0" encoding="utf-8"?>
<formControlPr xmlns="http://schemas.microsoft.com/office/spreadsheetml/2009/9/main" objectType="CheckBox" fmlaLink="$N$44" lockText="1" noThreeD="1"/>
</file>

<file path=xl/ctrlProps/ctrlProp37.xml><?xml version="1.0" encoding="utf-8"?>
<formControlPr xmlns="http://schemas.microsoft.com/office/spreadsheetml/2009/9/main" objectType="CheckBox" fmlaLink="$N$33" lockText="1" noThreeD="1"/>
</file>

<file path=xl/ctrlProps/ctrlProp38.xml><?xml version="1.0" encoding="utf-8"?>
<formControlPr xmlns="http://schemas.microsoft.com/office/spreadsheetml/2009/9/main" objectType="CheckBox" fmlaLink="$N$34" lockText="1" noThreeD="1"/>
</file>

<file path=xl/ctrlProps/ctrlProp39.xml><?xml version="1.0" encoding="utf-8"?>
<formControlPr xmlns="http://schemas.microsoft.com/office/spreadsheetml/2009/9/main" objectType="CheckBox" fmlaLink="$N$35" lockText="1" noThreeD="1"/>
</file>

<file path=xl/ctrlProps/ctrlProp40.xml><?xml version="1.0" encoding="utf-8"?>
<formControlPr xmlns="http://schemas.microsoft.com/office/spreadsheetml/2009/9/main" objectType="CheckBox" fmlaLink="$N$36" lockText="1" noThreeD="1"/>
</file>

<file path=xl/ctrlProps/ctrlProp41.xml><?xml version="1.0" encoding="utf-8"?>
<formControlPr xmlns="http://schemas.microsoft.com/office/spreadsheetml/2009/9/main" objectType="CheckBox" fmlaLink="$N$37" lockText="1" noThreeD="1"/>
</file>

<file path=xl/ctrlProps/ctrlProp42.xml><?xml version="1.0" encoding="utf-8"?>
<formControlPr xmlns="http://schemas.microsoft.com/office/spreadsheetml/2009/9/main" objectType="CheckBox" fmlaLink="$N$38" lockText="1" noThreeD="1"/>
</file>

<file path=xl/ctrlProps/ctrlProp43.xml><?xml version="1.0" encoding="utf-8"?>
<formControlPr xmlns="http://schemas.microsoft.com/office/spreadsheetml/2009/9/main" objectType="CheckBox" fmlaLink="$N$39" lockText="1" noThreeD="1"/>
</file>

<file path=xl/ctrlProps/ctrlProp44.xml><?xml version="1.0" encoding="utf-8"?>
<formControlPr xmlns="http://schemas.microsoft.com/office/spreadsheetml/2009/9/main" objectType="CheckBox" fmlaLink="$N$40" lockText="1" noThreeD="1"/>
</file>

<file path=xl/ctrlProps/ctrlProp45.xml><?xml version="1.0" encoding="utf-8"?>
<formControlPr xmlns="http://schemas.microsoft.com/office/spreadsheetml/2009/9/main" objectType="CheckBox" fmlaLink="$N$41" lockText="1" noThreeD="1"/>
</file>

<file path=xl/ctrlProps/ctrlProp46.xml><?xml version="1.0" encoding="utf-8"?>
<formControlPr xmlns="http://schemas.microsoft.com/office/spreadsheetml/2009/9/main" objectType="CheckBox" fmlaLink="$N$42" lockText="1" noThreeD="1"/>
</file>

<file path=xl/ctrlProps/ctrlProp47.xml><?xml version="1.0" encoding="utf-8"?>
<formControlPr xmlns="http://schemas.microsoft.com/office/spreadsheetml/2009/9/main" objectType="CheckBox" fmlaLink="$N$43" lockText="1" noThreeD="1"/>
</file>

<file path=xl/ctrlProps/ctrlProp48.xml><?xml version="1.0" encoding="utf-8"?>
<formControlPr xmlns="http://schemas.microsoft.com/office/spreadsheetml/2009/9/main" objectType="CheckBox" fmlaLink="$N$44" lockText="1" noThreeD="1"/>
</file>

<file path=xl/ctrlProps/ctrlProp49.xml><?xml version="1.0" encoding="utf-8"?>
<formControlPr xmlns="http://schemas.microsoft.com/office/spreadsheetml/2009/9/main" objectType="CheckBox" fmlaLink="$N$33" lockText="1" noThreeD="1"/>
</file>

<file path=xl/ctrlProps/ctrlProp50.xml><?xml version="1.0" encoding="utf-8"?>
<formControlPr xmlns="http://schemas.microsoft.com/office/spreadsheetml/2009/9/main" objectType="CheckBox" fmlaLink="$N$34" lockText="1" noThreeD="1"/>
</file>

<file path=xl/ctrlProps/ctrlProp51.xml><?xml version="1.0" encoding="utf-8"?>
<formControlPr xmlns="http://schemas.microsoft.com/office/spreadsheetml/2009/9/main" objectType="CheckBox" fmlaLink="$N$35" lockText="1" noThreeD="1"/>
</file>

<file path=xl/ctrlProps/ctrlProp52.xml><?xml version="1.0" encoding="utf-8"?>
<formControlPr xmlns="http://schemas.microsoft.com/office/spreadsheetml/2009/9/main" objectType="CheckBox" fmlaLink="$N$36" lockText="1" noThreeD="1"/>
</file>

<file path=xl/ctrlProps/ctrlProp53.xml><?xml version="1.0" encoding="utf-8"?>
<formControlPr xmlns="http://schemas.microsoft.com/office/spreadsheetml/2009/9/main" objectType="CheckBox" fmlaLink="$N$37" lockText="1" noThreeD="1"/>
</file>

<file path=xl/ctrlProps/ctrlProp54.xml><?xml version="1.0" encoding="utf-8"?>
<formControlPr xmlns="http://schemas.microsoft.com/office/spreadsheetml/2009/9/main" objectType="CheckBox" fmlaLink="$N$38" lockText="1" noThreeD="1"/>
</file>

<file path=xl/ctrlProps/ctrlProp55.xml><?xml version="1.0" encoding="utf-8"?>
<formControlPr xmlns="http://schemas.microsoft.com/office/spreadsheetml/2009/9/main" objectType="CheckBox" fmlaLink="$N$39" lockText="1" noThreeD="1"/>
</file>

<file path=xl/ctrlProps/ctrlProp56.xml><?xml version="1.0" encoding="utf-8"?>
<formControlPr xmlns="http://schemas.microsoft.com/office/spreadsheetml/2009/9/main" objectType="CheckBox" fmlaLink="$N$40" lockText="1" noThreeD="1"/>
</file>

<file path=xl/ctrlProps/ctrlProp57.xml><?xml version="1.0" encoding="utf-8"?>
<formControlPr xmlns="http://schemas.microsoft.com/office/spreadsheetml/2009/9/main" objectType="CheckBox" fmlaLink="$N$41" lockText="1" noThreeD="1"/>
</file>

<file path=xl/ctrlProps/ctrlProp58.xml><?xml version="1.0" encoding="utf-8"?>
<formControlPr xmlns="http://schemas.microsoft.com/office/spreadsheetml/2009/9/main" objectType="CheckBox" fmlaLink="$N$42" lockText="1" noThreeD="1"/>
</file>

<file path=xl/ctrlProps/ctrlProp59.xml><?xml version="1.0" encoding="utf-8"?>
<formControlPr xmlns="http://schemas.microsoft.com/office/spreadsheetml/2009/9/main" objectType="CheckBox" fmlaLink="$N$43" lockText="1" noThreeD="1"/>
</file>

<file path=xl/ctrlProps/ctrlProp60.xml><?xml version="1.0" encoding="utf-8"?>
<formControlPr xmlns="http://schemas.microsoft.com/office/spreadsheetml/2009/9/main" objectType="CheckBox" fmlaLink="$N$44" lockText="1" noThreeD="1"/>
</file>

<file path=xl/ctrlProps/ctrlProp61.xml><?xml version="1.0" encoding="utf-8"?>
<formControlPr xmlns="http://schemas.microsoft.com/office/spreadsheetml/2009/9/main" objectType="CheckBox" fmlaLink="$N$33" lockText="1" noThreeD="1"/>
</file>

<file path=xl/ctrlProps/ctrlProp62.xml><?xml version="1.0" encoding="utf-8"?>
<formControlPr xmlns="http://schemas.microsoft.com/office/spreadsheetml/2009/9/main" objectType="CheckBox" fmlaLink="$N$34" lockText="1" noThreeD="1"/>
</file>

<file path=xl/ctrlProps/ctrlProp63.xml><?xml version="1.0" encoding="utf-8"?>
<formControlPr xmlns="http://schemas.microsoft.com/office/spreadsheetml/2009/9/main" objectType="CheckBox" fmlaLink="$N$35" lockText="1" noThreeD="1"/>
</file>

<file path=xl/ctrlProps/ctrlProp64.xml><?xml version="1.0" encoding="utf-8"?>
<formControlPr xmlns="http://schemas.microsoft.com/office/spreadsheetml/2009/9/main" objectType="CheckBox" fmlaLink="$N$36" lockText="1" noThreeD="1"/>
</file>

<file path=xl/ctrlProps/ctrlProp65.xml><?xml version="1.0" encoding="utf-8"?>
<formControlPr xmlns="http://schemas.microsoft.com/office/spreadsheetml/2009/9/main" objectType="CheckBox" fmlaLink="$N$37" lockText="1" noThreeD="1"/>
</file>

<file path=xl/ctrlProps/ctrlProp66.xml><?xml version="1.0" encoding="utf-8"?>
<formControlPr xmlns="http://schemas.microsoft.com/office/spreadsheetml/2009/9/main" objectType="CheckBox" fmlaLink="$N$38" lockText="1" noThreeD="1"/>
</file>

<file path=xl/ctrlProps/ctrlProp67.xml><?xml version="1.0" encoding="utf-8"?>
<formControlPr xmlns="http://schemas.microsoft.com/office/spreadsheetml/2009/9/main" objectType="CheckBox" fmlaLink="$N$39" lockText="1" noThreeD="1"/>
</file>

<file path=xl/ctrlProps/ctrlProp68.xml><?xml version="1.0" encoding="utf-8"?>
<formControlPr xmlns="http://schemas.microsoft.com/office/spreadsheetml/2009/9/main" objectType="CheckBox" fmlaLink="$N$40" lockText="1" noThreeD="1"/>
</file>

<file path=xl/ctrlProps/ctrlProp69.xml><?xml version="1.0" encoding="utf-8"?>
<formControlPr xmlns="http://schemas.microsoft.com/office/spreadsheetml/2009/9/main" objectType="CheckBox" fmlaLink="$N$41" lockText="1" noThreeD="1"/>
</file>

<file path=xl/ctrlProps/ctrlProp70.xml><?xml version="1.0" encoding="utf-8"?>
<formControlPr xmlns="http://schemas.microsoft.com/office/spreadsheetml/2009/9/main" objectType="CheckBox" fmlaLink="$N$42" lockText="1" noThreeD="1"/>
</file>

<file path=xl/ctrlProps/ctrlProp71.xml><?xml version="1.0" encoding="utf-8"?>
<formControlPr xmlns="http://schemas.microsoft.com/office/spreadsheetml/2009/9/main" objectType="CheckBox" fmlaLink="$N$43" lockText="1" noThreeD="1"/>
</file>

<file path=xl/ctrlProps/ctrlProp72.xml><?xml version="1.0" encoding="utf-8"?>
<formControlPr xmlns="http://schemas.microsoft.com/office/spreadsheetml/2009/9/main" objectType="CheckBox" fmlaLink="$N$44" lockText="1" noThreeD="1"/>
</file>

<file path=xl/ctrlProps/ctrlProp73.xml><?xml version="1.0" encoding="utf-8"?>
<formControlPr xmlns="http://schemas.microsoft.com/office/spreadsheetml/2009/9/main" objectType="CheckBox" fmlaLink="$N$33" lockText="1" noThreeD="1"/>
</file>

<file path=xl/ctrlProps/ctrlProp74.xml><?xml version="1.0" encoding="utf-8"?>
<formControlPr xmlns="http://schemas.microsoft.com/office/spreadsheetml/2009/9/main" objectType="CheckBox" fmlaLink="$N$34" lockText="1" noThreeD="1"/>
</file>

<file path=xl/ctrlProps/ctrlProp75.xml><?xml version="1.0" encoding="utf-8"?>
<formControlPr xmlns="http://schemas.microsoft.com/office/spreadsheetml/2009/9/main" objectType="CheckBox" fmlaLink="$N$35" lockText="1" noThreeD="1"/>
</file>

<file path=xl/ctrlProps/ctrlProp76.xml><?xml version="1.0" encoding="utf-8"?>
<formControlPr xmlns="http://schemas.microsoft.com/office/spreadsheetml/2009/9/main" objectType="CheckBox" fmlaLink="$N$36" lockText="1" noThreeD="1"/>
</file>

<file path=xl/ctrlProps/ctrlProp77.xml><?xml version="1.0" encoding="utf-8"?>
<formControlPr xmlns="http://schemas.microsoft.com/office/spreadsheetml/2009/9/main" objectType="CheckBox" fmlaLink="$N$37" lockText="1" noThreeD="1"/>
</file>

<file path=xl/ctrlProps/ctrlProp78.xml><?xml version="1.0" encoding="utf-8"?>
<formControlPr xmlns="http://schemas.microsoft.com/office/spreadsheetml/2009/9/main" objectType="CheckBox" fmlaLink="$N$38" lockText="1" noThreeD="1"/>
</file>

<file path=xl/ctrlProps/ctrlProp79.xml><?xml version="1.0" encoding="utf-8"?>
<formControlPr xmlns="http://schemas.microsoft.com/office/spreadsheetml/2009/9/main" objectType="CheckBox" fmlaLink="$N$39" lockText="1" noThreeD="1"/>
</file>

<file path=xl/ctrlProps/ctrlProp80.xml><?xml version="1.0" encoding="utf-8"?>
<formControlPr xmlns="http://schemas.microsoft.com/office/spreadsheetml/2009/9/main" objectType="CheckBox" fmlaLink="$N$40" lockText="1" noThreeD="1"/>
</file>

<file path=xl/ctrlProps/ctrlProp81.xml><?xml version="1.0" encoding="utf-8"?>
<formControlPr xmlns="http://schemas.microsoft.com/office/spreadsheetml/2009/9/main" objectType="CheckBox" fmlaLink="$N$41" lockText="1" noThreeD="1"/>
</file>

<file path=xl/ctrlProps/ctrlProp82.xml><?xml version="1.0" encoding="utf-8"?>
<formControlPr xmlns="http://schemas.microsoft.com/office/spreadsheetml/2009/9/main" objectType="CheckBox" fmlaLink="$N$42" lockText="1" noThreeD="1"/>
</file>

<file path=xl/ctrlProps/ctrlProp83.xml><?xml version="1.0" encoding="utf-8"?>
<formControlPr xmlns="http://schemas.microsoft.com/office/spreadsheetml/2009/9/main" objectType="CheckBox" fmlaLink="$N$43" lockText="1" noThreeD="1"/>
</file>

<file path=xl/ctrlProps/ctrlProp84.xml><?xml version="1.0" encoding="utf-8"?>
<formControlPr xmlns="http://schemas.microsoft.com/office/spreadsheetml/2009/9/main" objectType="CheckBox" fmlaLink="$N$44" lockText="1" noThreeD="1"/>
</file>

<file path=xl/ctrlProps/ctrlProp85.xml><?xml version="1.0" encoding="utf-8"?>
<formControlPr xmlns="http://schemas.microsoft.com/office/spreadsheetml/2009/9/main" objectType="CheckBox" fmlaLink="$N$33" lockText="1" noThreeD="1"/>
</file>

<file path=xl/ctrlProps/ctrlProp86.xml><?xml version="1.0" encoding="utf-8"?>
<formControlPr xmlns="http://schemas.microsoft.com/office/spreadsheetml/2009/9/main" objectType="CheckBox" fmlaLink="$N$34" lockText="1" noThreeD="1"/>
</file>

<file path=xl/ctrlProps/ctrlProp87.xml><?xml version="1.0" encoding="utf-8"?>
<formControlPr xmlns="http://schemas.microsoft.com/office/spreadsheetml/2009/9/main" objectType="CheckBox" fmlaLink="$N$35" lockText="1" noThreeD="1"/>
</file>

<file path=xl/ctrlProps/ctrlProp88.xml><?xml version="1.0" encoding="utf-8"?>
<formControlPr xmlns="http://schemas.microsoft.com/office/spreadsheetml/2009/9/main" objectType="CheckBox" fmlaLink="$N$36" lockText="1" noThreeD="1"/>
</file>

<file path=xl/ctrlProps/ctrlProp89.xml><?xml version="1.0" encoding="utf-8"?>
<formControlPr xmlns="http://schemas.microsoft.com/office/spreadsheetml/2009/9/main" objectType="CheckBox" fmlaLink="$N$37" lockText="1" noThreeD="1"/>
</file>

<file path=xl/ctrlProps/ctrlProp90.xml><?xml version="1.0" encoding="utf-8"?>
<formControlPr xmlns="http://schemas.microsoft.com/office/spreadsheetml/2009/9/main" objectType="CheckBox" fmlaLink="$N$38" lockText="1" noThreeD="1"/>
</file>

<file path=xl/ctrlProps/ctrlProp91.xml><?xml version="1.0" encoding="utf-8"?>
<formControlPr xmlns="http://schemas.microsoft.com/office/spreadsheetml/2009/9/main" objectType="CheckBox" fmlaLink="$N$39" lockText="1" noThreeD="1"/>
</file>

<file path=xl/ctrlProps/ctrlProp92.xml><?xml version="1.0" encoding="utf-8"?>
<formControlPr xmlns="http://schemas.microsoft.com/office/spreadsheetml/2009/9/main" objectType="CheckBox" fmlaLink="$N$40" lockText="1" noThreeD="1"/>
</file>

<file path=xl/ctrlProps/ctrlProp93.xml><?xml version="1.0" encoding="utf-8"?>
<formControlPr xmlns="http://schemas.microsoft.com/office/spreadsheetml/2009/9/main" objectType="CheckBox" fmlaLink="$N$41" lockText="1" noThreeD="1"/>
</file>

<file path=xl/ctrlProps/ctrlProp94.xml><?xml version="1.0" encoding="utf-8"?>
<formControlPr xmlns="http://schemas.microsoft.com/office/spreadsheetml/2009/9/main" objectType="CheckBox" fmlaLink="$N$42" lockText="1" noThreeD="1"/>
</file>

<file path=xl/ctrlProps/ctrlProp95.xml><?xml version="1.0" encoding="utf-8"?>
<formControlPr xmlns="http://schemas.microsoft.com/office/spreadsheetml/2009/9/main" objectType="CheckBox" fmlaLink="$N$43" lockText="1" noThreeD="1"/>
</file>

<file path=xl/ctrlProps/ctrlProp96.xml><?xml version="1.0" encoding="utf-8"?>
<formControlPr xmlns="http://schemas.microsoft.com/office/spreadsheetml/2009/9/main" objectType="CheckBox" fmlaLink="$N$44" lockText="1" noThreeD="1"/>
</file>

<file path=xl/ctrlProps/ctrlProp97.xml><?xml version="1.0" encoding="utf-8"?>
<formControlPr xmlns="http://schemas.microsoft.com/office/spreadsheetml/2009/9/main" objectType="CheckBox" fmlaLink="$N$33" lockText="1" noThreeD="1"/>
</file>

<file path=xl/ctrlProps/ctrlProp98.xml><?xml version="1.0" encoding="utf-8"?>
<formControlPr xmlns="http://schemas.microsoft.com/office/spreadsheetml/2009/9/main" objectType="CheckBox" fmlaLink="$N$34" lockText="1" noThreeD="1"/>
</file>

<file path=xl/ctrlProps/ctrlProp99.xml><?xml version="1.0" encoding="utf-8"?>
<formControlPr xmlns="http://schemas.microsoft.com/office/spreadsheetml/2009/9/main" objectType="CheckBox" fmlaLink="$N$35" lockText="1" noThreeD="1"/>
</file>

<file path=xl/ctrlProps/ctrlProp100.xml><?xml version="1.0" encoding="utf-8"?>
<formControlPr xmlns="http://schemas.microsoft.com/office/spreadsheetml/2009/9/main" objectType="CheckBox" fmlaLink="$N$36" lockText="1" noThreeD="1"/>
</file>

<file path=xl/ctrlProps/ctrlProp101.xml><?xml version="1.0" encoding="utf-8"?>
<formControlPr xmlns="http://schemas.microsoft.com/office/spreadsheetml/2009/9/main" objectType="CheckBox" fmlaLink="$N$37" lockText="1" noThreeD="1"/>
</file>

<file path=xl/ctrlProps/ctrlProp102.xml><?xml version="1.0" encoding="utf-8"?>
<formControlPr xmlns="http://schemas.microsoft.com/office/spreadsheetml/2009/9/main" objectType="CheckBox" fmlaLink="$N$38" lockText="1" noThreeD="1"/>
</file>

<file path=xl/ctrlProps/ctrlProp103.xml><?xml version="1.0" encoding="utf-8"?>
<formControlPr xmlns="http://schemas.microsoft.com/office/spreadsheetml/2009/9/main" objectType="CheckBox" fmlaLink="$N$39" lockText="1" noThreeD="1"/>
</file>

<file path=xl/ctrlProps/ctrlProp104.xml><?xml version="1.0" encoding="utf-8"?>
<formControlPr xmlns="http://schemas.microsoft.com/office/spreadsheetml/2009/9/main" objectType="CheckBox" fmlaLink="$N$40" lockText="1" noThreeD="1"/>
</file>

<file path=xl/ctrlProps/ctrlProp105.xml><?xml version="1.0" encoding="utf-8"?>
<formControlPr xmlns="http://schemas.microsoft.com/office/spreadsheetml/2009/9/main" objectType="CheckBox" fmlaLink="$N$41" lockText="1" noThreeD="1"/>
</file>

<file path=xl/ctrlProps/ctrlProp106.xml><?xml version="1.0" encoding="utf-8"?>
<formControlPr xmlns="http://schemas.microsoft.com/office/spreadsheetml/2009/9/main" objectType="CheckBox" fmlaLink="$N$42" lockText="1" noThreeD="1"/>
</file>

<file path=xl/ctrlProps/ctrlProp107.xml><?xml version="1.0" encoding="utf-8"?>
<formControlPr xmlns="http://schemas.microsoft.com/office/spreadsheetml/2009/9/main" objectType="CheckBox" fmlaLink="$N$43" lockText="1" noThreeD="1"/>
</file>

<file path=xl/ctrlProps/ctrlProp108.xml><?xml version="1.0" encoding="utf-8"?>
<formControlPr xmlns="http://schemas.microsoft.com/office/spreadsheetml/2009/9/main" objectType="CheckBox" fmlaLink="$N$44" lockText="1" noThreeD="1"/>
</file>

<file path=xl/ctrlProps/ctrlProp109.xml><?xml version="1.0" encoding="utf-8"?>
<formControlPr xmlns="http://schemas.microsoft.com/office/spreadsheetml/2009/9/main" objectType="CheckBox" fmlaLink="$N$33" lockText="1" noThreeD="1"/>
</file>

<file path=xl/ctrlProps/ctrlProp110.xml><?xml version="1.0" encoding="utf-8"?>
<formControlPr xmlns="http://schemas.microsoft.com/office/spreadsheetml/2009/9/main" objectType="CheckBox" fmlaLink="$N$34" lockText="1" noThreeD="1"/>
</file>

<file path=xl/ctrlProps/ctrlProp111.xml><?xml version="1.0" encoding="utf-8"?>
<formControlPr xmlns="http://schemas.microsoft.com/office/spreadsheetml/2009/9/main" objectType="CheckBox" fmlaLink="$N$35" lockText="1" noThreeD="1"/>
</file>

<file path=xl/ctrlProps/ctrlProp112.xml><?xml version="1.0" encoding="utf-8"?>
<formControlPr xmlns="http://schemas.microsoft.com/office/spreadsheetml/2009/9/main" objectType="CheckBox" fmlaLink="$N$36" lockText="1" noThreeD="1"/>
</file>

<file path=xl/ctrlProps/ctrlProp113.xml><?xml version="1.0" encoding="utf-8"?>
<formControlPr xmlns="http://schemas.microsoft.com/office/spreadsheetml/2009/9/main" objectType="CheckBox" fmlaLink="$N$37" lockText="1" noThreeD="1"/>
</file>

<file path=xl/ctrlProps/ctrlProp114.xml><?xml version="1.0" encoding="utf-8"?>
<formControlPr xmlns="http://schemas.microsoft.com/office/spreadsheetml/2009/9/main" objectType="CheckBox" fmlaLink="$N$38" lockText="1" noThreeD="1"/>
</file>

<file path=xl/ctrlProps/ctrlProp115.xml><?xml version="1.0" encoding="utf-8"?>
<formControlPr xmlns="http://schemas.microsoft.com/office/spreadsheetml/2009/9/main" objectType="CheckBox" fmlaLink="$N$39" lockText="1" noThreeD="1"/>
</file>

<file path=xl/ctrlProps/ctrlProp116.xml><?xml version="1.0" encoding="utf-8"?>
<formControlPr xmlns="http://schemas.microsoft.com/office/spreadsheetml/2009/9/main" objectType="CheckBox" fmlaLink="$N$40" lockText="1" noThreeD="1"/>
</file>

<file path=xl/ctrlProps/ctrlProp117.xml><?xml version="1.0" encoding="utf-8"?>
<formControlPr xmlns="http://schemas.microsoft.com/office/spreadsheetml/2009/9/main" objectType="CheckBox" fmlaLink="$N$41" lockText="1" noThreeD="1"/>
</file>

<file path=xl/ctrlProps/ctrlProp118.xml><?xml version="1.0" encoding="utf-8"?>
<formControlPr xmlns="http://schemas.microsoft.com/office/spreadsheetml/2009/9/main" objectType="CheckBox" fmlaLink="$N$42" lockText="1" noThreeD="1"/>
</file>

<file path=xl/ctrlProps/ctrlProp119.xml><?xml version="1.0" encoding="utf-8"?>
<formControlPr xmlns="http://schemas.microsoft.com/office/spreadsheetml/2009/9/main" objectType="CheckBox" fmlaLink="$N$43" lockText="1" noThreeD="1"/>
</file>

<file path=xl/ctrlProps/ctrlProp120.xml><?xml version="1.0" encoding="utf-8"?>
<formControlPr xmlns="http://schemas.microsoft.com/office/spreadsheetml/2009/9/main" objectType="CheckBox" fmlaLink="$N$44" lockText="1" noThreeD="1"/>
</file>

<file path=xl/ctrlProps/ctrlProp121.xml><?xml version="1.0" encoding="utf-8"?>
<formControlPr xmlns="http://schemas.microsoft.com/office/spreadsheetml/2009/9/main" objectType="CheckBox" fmlaLink="$N$33" lockText="1" noThreeD="1"/>
</file>

<file path=xl/ctrlProps/ctrlProp122.xml><?xml version="1.0" encoding="utf-8"?>
<formControlPr xmlns="http://schemas.microsoft.com/office/spreadsheetml/2009/9/main" objectType="CheckBox" fmlaLink="$N$34" lockText="1" noThreeD="1"/>
</file>

<file path=xl/ctrlProps/ctrlProp123.xml><?xml version="1.0" encoding="utf-8"?>
<formControlPr xmlns="http://schemas.microsoft.com/office/spreadsheetml/2009/9/main" objectType="CheckBox" fmlaLink="$N$35" lockText="1" noThreeD="1"/>
</file>

<file path=xl/ctrlProps/ctrlProp124.xml><?xml version="1.0" encoding="utf-8"?>
<formControlPr xmlns="http://schemas.microsoft.com/office/spreadsheetml/2009/9/main" objectType="CheckBox" fmlaLink="$N$36" lockText="1" noThreeD="1"/>
</file>

<file path=xl/ctrlProps/ctrlProp125.xml><?xml version="1.0" encoding="utf-8"?>
<formControlPr xmlns="http://schemas.microsoft.com/office/spreadsheetml/2009/9/main" objectType="CheckBox" fmlaLink="$N$37" lockText="1" noThreeD="1"/>
</file>

<file path=xl/ctrlProps/ctrlProp126.xml><?xml version="1.0" encoding="utf-8"?>
<formControlPr xmlns="http://schemas.microsoft.com/office/spreadsheetml/2009/9/main" objectType="CheckBox" fmlaLink="$N$38" lockText="1" noThreeD="1"/>
</file>

<file path=xl/ctrlProps/ctrlProp127.xml><?xml version="1.0" encoding="utf-8"?>
<formControlPr xmlns="http://schemas.microsoft.com/office/spreadsheetml/2009/9/main" objectType="CheckBox" fmlaLink="$N$39" lockText="1" noThreeD="1"/>
</file>

<file path=xl/ctrlProps/ctrlProp128.xml><?xml version="1.0" encoding="utf-8"?>
<formControlPr xmlns="http://schemas.microsoft.com/office/spreadsheetml/2009/9/main" objectType="CheckBox" fmlaLink="$N$40" lockText="1" noThreeD="1"/>
</file>

<file path=xl/ctrlProps/ctrlProp129.xml><?xml version="1.0" encoding="utf-8"?>
<formControlPr xmlns="http://schemas.microsoft.com/office/spreadsheetml/2009/9/main" objectType="CheckBox" fmlaLink="$N$41" lockText="1" noThreeD="1"/>
</file>

<file path=xl/ctrlProps/ctrlProp130.xml><?xml version="1.0" encoding="utf-8"?>
<formControlPr xmlns="http://schemas.microsoft.com/office/spreadsheetml/2009/9/main" objectType="CheckBox" fmlaLink="$N$42" lockText="1" noThreeD="1"/>
</file>

<file path=xl/ctrlProps/ctrlProp131.xml><?xml version="1.0" encoding="utf-8"?>
<formControlPr xmlns="http://schemas.microsoft.com/office/spreadsheetml/2009/9/main" objectType="CheckBox" fmlaLink="$N$43" lockText="1" noThreeD="1"/>
</file>

<file path=xl/ctrlProps/ctrlProp132.xml><?xml version="1.0" encoding="utf-8"?>
<formControlPr xmlns="http://schemas.microsoft.com/office/spreadsheetml/2009/9/main" objectType="CheckBox" fmlaLink="$N$44" lockText="1" noThreeD="1"/>
</file>

<file path=xl/ctrlProps/ctrlProp133.xml><?xml version="1.0" encoding="utf-8"?>
<formControlPr xmlns="http://schemas.microsoft.com/office/spreadsheetml/2009/9/main" objectType="CheckBox" fmlaLink="$N$33" lockText="1" noThreeD="1"/>
</file>

<file path=xl/ctrlProps/ctrlProp134.xml><?xml version="1.0" encoding="utf-8"?>
<formControlPr xmlns="http://schemas.microsoft.com/office/spreadsheetml/2009/9/main" objectType="CheckBox" fmlaLink="$N$34" lockText="1" noThreeD="1"/>
</file>

<file path=xl/ctrlProps/ctrlProp135.xml><?xml version="1.0" encoding="utf-8"?>
<formControlPr xmlns="http://schemas.microsoft.com/office/spreadsheetml/2009/9/main" objectType="CheckBox" fmlaLink="$N$35" lockText="1" noThreeD="1"/>
</file>

<file path=xl/ctrlProps/ctrlProp136.xml><?xml version="1.0" encoding="utf-8"?>
<formControlPr xmlns="http://schemas.microsoft.com/office/spreadsheetml/2009/9/main" objectType="CheckBox" fmlaLink="$N$36" lockText="1" noThreeD="1"/>
</file>

<file path=xl/ctrlProps/ctrlProp137.xml><?xml version="1.0" encoding="utf-8"?>
<formControlPr xmlns="http://schemas.microsoft.com/office/spreadsheetml/2009/9/main" objectType="CheckBox" fmlaLink="$N$37" lockText="1" noThreeD="1"/>
</file>

<file path=xl/ctrlProps/ctrlProp138.xml><?xml version="1.0" encoding="utf-8"?>
<formControlPr xmlns="http://schemas.microsoft.com/office/spreadsheetml/2009/9/main" objectType="CheckBox" fmlaLink="$N$38" lockText="1" noThreeD="1"/>
</file>

<file path=xl/ctrlProps/ctrlProp139.xml><?xml version="1.0" encoding="utf-8"?>
<formControlPr xmlns="http://schemas.microsoft.com/office/spreadsheetml/2009/9/main" objectType="CheckBox" fmlaLink="$N$39" lockText="1" noThreeD="1"/>
</file>

<file path=xl/ctrlProps/ctrlProp140.xml><?xml version="1.0" encoding="utf-8"?>
<formControlPr xmlns="http://schemas.microsoft.com/office/spreadsheetml/2009/9/main" objectType="CheckBox" fmlaLink="$N$40" lockText="1" noThreeD="1"/>
</file>

<file path=xl/ctrlProps/ctrlProp141.xml><?xml version="1.0" encoding="utf-8"?>
<formControlPr xmlns="http://schemas.microsoft.com/office/spreadsheetml/2009/9/main" objectType="CheckBox" fmlaLink="$N$41" lockText="1" noThreeD="1"/>
</file>

<file path=xl/ctrlProps/ctrlProp142.xml><?xml version="1.0" encoding="utf-8"?>
<formControlPr xmlns="http://schemas.microsoft.com/office/spreadsheetml/2009/9/main" objectType="CheckBox" fmlaLink="$N$42" lockText="1" noThreeD="1"/>
</file>

<file path=xl/ctrlProps/ctrlProp143.xml><?xml version="1.0" encoding="utf-8"?>
<formControlPr xmlns="http://schemas.microsoft.com/office/spreadsheetml/2009/9/main" objectType="CheckBox" fmlaLink="$N$43" lockText="1" noThreeD="1"/>
</file>

<file path=xl/ctrlProps/ctrlProp144.xml><?xml version="1.0" encoding="utf-8"?>
<formControlPr xmlns="http://schemas.microsoft.com/office/spreadsheetml/2009/9/main" objectType="CheckBox" fmlaLink="$N$44" lockText="1" noThreeD="1"/>
</file>

<file path=xl/ctrlProps/ctrlProp145.xml><?xml version="1.0" encoding="utf-8"?>
<formControlPr xmlns="http://schemas.microsoft.com/office/spreadsheetml/2009/9/main" objectType="CheckBox" fmlaLink="$N$33" lockText="1" noThreeD="1"/>
</file>

<file path=xl/ctrlProps/ctrlProp146.xml><?xml version="1.0" encoding="utf-8"?>
<formControlPr xmlns="http://schemas.microsoft.com/office/spreadsheetml/2009/9/main" objectType="CheckBox" fmlaLink="$N$34" lockText="1" noThreeD="1"/>
</file>

<file path=xl/ctrlProps/ctrlProp147.xml><?xml version="1.0" encoding="utf-8"?>
<formControlPr xmlns="http://schemas.microsoft.com/office/spreadsheetml/2009/9/main" objectType="CheckBox" fmlaLink="$N$35" lockText="1" noThreeD="1"/>
</file>

<file path=xl/ctrlProps/ctrlProp148.xml><?xml version="1.0" encoding="utf-8"?>
<formControlPr xmlns="http://schemas.microsoft.com/office/spreadsheetml/2009/9/main" objectType="CheckBox" fmlaLink="$N$36" lockText="1" noThreeD="1"/>
</file>

<file path=xl/ctrlProps/ctrlProp149.xml><?xml version="1.0" encoding="utf-8"?>
<formControlPr xmlns="http://schemas.microsoft.com/office/spreadsheetml/2009/9/main" objectType="CheckBox" fmlaLink="$N$37" lockText="1" noThreeD="1"/>
</file>

<file path=xl/ctrlProps/ctrlProp150.xml><?xml version="1.0" encoding="utf-8"?>
<formControlPr xmlns="http://schemas.microsoft.com/office/spreadsheetml/2009/9/main" objectType="CheckBox" fmlaLink="$N$38" lockText="1" noThreeD="1"/>
</file>

<file path=xl/ctrlProps/ctrlProp151.xml><?xml version="1.0" encoding="utf-8"?>
<formControlPr xmlns="http://schemas.microsoft.com/office/spreadsheetml/2009/9/main" objectType="CheckBox" fmlaLink="$N$39" lockText="1" noThreeD="1"/>
</file>

<file path=xl/ctrlProps/ctrlProp152.xml><?xml version="1.0" encoding="utf-8"?>
<formControlPr xmlns="http://schemas.microsoft.com/office/spreadsheetml/2009/9/main" objectType="CheckBox" fmlaLink="$N$40" lockText="1" noThreeD="1"/>
</file>

<file path=xl/ctrlProps/ctrlProp153.xml><?xml version="1.0" encoding="utf-8"?>
<formControlPr xmlns="http://schemas.microsoft.com/office/spreadsheetml/2009/9/main" objectType="CheckBox" fmlaLink="$N$41" lockText="1" noThreeD="1"/>
</file>

<file path=xl/ctrlProps/ctrlProp154.xml><?xml version="1.0" encoding="utf-8"?>
<formControlPr xmlns="http://schemas.microsoft.com/office/spreadsheetml/2009/9/main" objectType="CheckBox" fmlaLink="$N$42" lockText="1" noThreeD="1"/>
</file>

<file path=xl/ctrlProps/ctrlProp155.xml><?xml version="1.0" encoding="utf-8"?>
<formControlPr xmlns="http://schemas.microsoft.com/office/spreadsheetml/2009/9/main" objectType="CheckBox" fmlaLink="$N$43" lockText="1" noThreeD="1"/>
</file>

<file path=xl/ctrlProps/ctrlProp156.xml><?xml version="1.0" encoding="utf-8"?>
<formControlPr xmlns="http://schemas.microsoft.com/office/spreadsheetml/2009/9/main" objectType="CheckBox" fmlaLink="$N$44" lockText="1" noThreeD="1"/>
</file>

<file path=xl/ctrlProps/ctrlProp157.xml><?xml version="1.0" encoding="utf-8"?>
<formControlPr xmlns="http://schemas.microsoft.com/office/spreadsheetml/2009/9/main" objectType="CheckBox" fmlaLink="$N$33" lockText="1" noThreeD="1"/>
</file>

<file path=xl/ctrlProps/ctrlProp158.xml><?xml version="1.0" encoding="utf-8"?>
<formControlPr xmlns="http://schemas.microsoft.com/office/spreadsheetml/2009/9/main" objectType="CheckBox" fmlaLink="$N$34" lockText="1" noThreeD="1"/>
</file>

<file path=xl/ctrlProps/ctrlProp159.xml><?xml version="1.0" encoding="utf-8"?>
<formControlPr xmlns="http://schemas.microsoft.com/office/spreadsheetml/2009/9/main" objectType="CheckBox" fmlaLink="$N$35" lockText="1" noThreeD="1"/>
</file>

<file path=xl/ctrlProps/ctrlProp160.xml><?xml version="1.0" encoding="utf-8"?>
<formControlPr xmlns="http://schemas.microsoft.com/office/spreadsheetml/2009/9/main" objectType="CheckBox" fmlaLink="$N$36" lockText="1" noThreeD="1"/>
</file>

<file path=xl/ctrlProps/ctrlProp161.xml><?xml version="1.0" encoding="utf-8"?>
<formControlPr xmlns="http://schemas.microsoft.com/office/spreadsheetml/2009/9/main" objectType="CheckBox" fmlaLink="$N$37" lockText="1" noThreeD="1"/>
</file>

<file path=xl/ctrlProps/ctrlProp162.xml><?xml version="1.0" encoding="utf-8"?>
<formControlPr xmlns="http://schemas.microsoft.com/office/spreadsheetml/2009/9/main" objectType="CheckBox" fmlaLink="$N$38" lockText="1" noThreeD="1"/>
</file>

<file path=xl/ctrlProps/ctrlProp163.xml><?xml version="1.0" encoding="utf-8"?>
<formControlPr xmlns="http://schemas.microsoft.com/office/spreadsheetml/2009/9/main" objectType="CheckBox" fmlaLink="$N$39" lockText="1" noThreeD="1"/>
</file>

<file path=xl/ctrlProps/ctrlProp164.xml><?xml version="1.0" encoding="utf-8"?>
<formControlPr xmlns="http://schemas.microsoft.com/office/spreadsheetml/2009/9/main" objectType="CheckBox" fmlaLink="$N$40" lockText="1" noThreeD="1"/>
</file>

<file path=xl/ctrlProps/ctrlProp165.xml><?xml version="1.0" encoding="utf-8"?>
<formControlPr xmlns="http://schemas.microsoft.com/office/spreadsheetml/2009/9/main" objectType="CheckBox" fmlaLink="$N$41" lockText="1" noThreeD="1"/>
</file>

<file path=xl/ctrlProps/ctrlProp166.xml><?xml version="1.0" encoding="utf-8"?>
<formControlPr xmlns="http://schemas.microsoft.com/office/spreadsheetml/2009/9/main" objectType="CheckBox" fmlaLink="$N$42" lockText="1" noThreeD="1"/>
</file>

<file path=xl/ctrlProps/ctrlProp167.xml><?xml version="1.0" encoding="utf-8"?>
<formControlPr xmlns="http://schemas.microsoft.com/office/spreadsheetml/2009/9/main" objectType="CheckBox" fmlaLink="$N$43" lockText="1" noThreeD="1"/>
</file>

<file path=xl/ctrlProps/ctrlProp168.xml><?xml version="1.0" encoding="utf-8"?>
<formControlPr xmlns="http://schemas.microsoft.com/office/spreadsheetml/2009/9/main" objectType="CheckBox" fmlaLink="$N$44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5846</xdr:colOff>
      <xdr:row>32</xdr:row>
      <xdr:rowOff>12400</xdr:rowOff>
    </xdr:from>
    <xdr:to>
      <xdr:col>25</xdr:col>
      <xdr:colOff>124629</xdr:colOff>
      <xdr:row>46</xdr:row>
      <xdr:rowOff>77369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45</xdr:row>
          <xdr:rowOff>9525</xdr:rowOff>
        </xdr:from>
        <xdr:to>
          <xdr:col>3</xdr:col>
          <xdr:colOff>9525</xdr:colOff>
          <xdr:row>46</xdr:row>
          <xdr:rowOff>9525</xdr:rowOff>
        </xdr:to>
        <xdr:sp macro="" textlink="">
          <xdr:nvSpPr>
            <xdr:cNvPr id="1035" name="Check Box 11" descr="Subassembly?&#10;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46</xdr:row>
          <xdr:rowOff>9525</xdr:rowOff>
        </xdr:from>
        <xdr:to>
          <xdr:col>3</xdr:col>
          <xdr:colOff>9525</xdr:colOff>
          <xdr:row>47</xdr:row>
          <xdr:rowOff>9525</xdr:rowOff>
        </xdr:to>
        <xdr:sp macro="" textlink="">
          <xdr:nvSpPr>
            <xdr:cNvPr id="1036" name="Check Box 12" descr="Subassembly?&#10;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47</xdr:row>
          <xdr:rowOff>9525</xdr:rowOff>
        </xdr:from>
        <xdr:to>
          <xdr:col>3</xdr:col>
          <xdr:colOff>9525</xdr:colOff>
          <xdr:row>48</xdr:row>
          <xdr:rowOff>9525</xdr:rowOff>
        </xdr:to>
        <xdr:sp macro="" textlink="">
          <xdr:nvSpPr>
            <xdr:cNvPr id="1037" name="Check Box 13" descr="Subassembly?&#10;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50</xdr:row>
          <xdr:rowOff>9525</xdr:rowOff>
        </xdr:from>
        <xdr:to>
          <xdr:col>3</xdr:col>
          <xdr:colOff>9525</xdr:colOff>
          <xdr:row>51</xdr:row>
          <xdr:rowOff>9525</xdr:rowOff>
        </xdr:to>
        <xdr:sp macro="" textlink="">
          <xdr:nvSpPr>
            <xdr:cNvPr id="1038" name="Check Box 14" descr="Subassembly?&#10;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51</xdr:row>
          <xdr:rowOff>9525</xdr:rowOff>
        </xdr:from>
        <xdr:to>
          <xdr:col>3</xdr:col>
          <xdr:colOff>0</xdr:colOff>
          <xdr:row>52</xdr:row>
          <xdr:rowOff>9525</xdr:rowOff>
        </xdr:to>
        <xdr:sp macro="" textlink="">
          <xdr:nvSpPr>
            <xdr:cNvPr id="1039" name="Check Box 15" descr="Subassembly?&#10;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52</xdr:row>
          <xdr:rowOff>9525</xdr:rowOff>
        </xdr:from>
        <xdr:to>
          <xdr:col>3</xdr:col>
          <xdr:colOff>9525</xdr:colOff>
          <xdr:row>53</xdr:row>
          <xdr:rowOff>9525</xdr:rowOff>
        </xdr:to>
        <xdr:sp macro="" textlink="">
          <xdr:nvSpPr>
            <xdr:cNvPr id="1040" name="Check Box 16" descr="Subassembly?&#10;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53</xdr:row>
          <xdr:rowOff>9525</xdr:rowOff>
        </xdr:from>
        <xdr:to>
          <xdr:col>3</xdr:col>
          <xdr:colOff>0</xdr:colOff>
          <xdr:row>54</xdr:row>
          <xdr:rowOff>9525</xdr:rowOff>
        </xdr:to>
        <xdr:sp macro="" textlink="">
          <xdr:nvSpPr>
            <xdr:cNvPr id="1041" name="Check Box 17" descr="Subassembly?&#10;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56</xdr:row>
          <xdr:rowOff>9525</xdr:rowOff>
        </xdr:from>
        <xdr:to>
          <xdr:col>3</xdr:col>
          <xdr:colOff>9525</xdr:colOff>
          <xdr:row>57</xdr:row>
          <xdr:rowOff>0</xdr:rowOff>
        </xdr:to>
        <xdr:sp macro="" textlink="">
          <xdr:nvSpPr>
            <xdr:cNvPr id="1042" name="Check Box 18" descr="Subassembly?&#10;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13</xdr:col>
          <xdr:colOff>723900</xdr:colOff>
          <xdr:row>33</xdr:row>
          <xdr:rowOff>19050</xdr:rowOff>
        </xdr:to>
        <xdr:sp macro="" textlink="">
          <xdr:nvSpPr>
            <xdr:cNvPr id="1046" name="Check Box 22" descr="Amortize?&#10;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13</xdr:col>
          <xdr:colOff>723900</xdr:colOff>
          <xdr:row>34</xdr:row>
          <xdr:rowOff>28575</xdr:rowOff>
        </xdr:to>
        <xdr:sp macro="" textlink="">
          <xdr:nvSpPr>
            <xdr:cNvPr id="1047" name="Check Box 23" descr="Amortize?&#10;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180975</xdr:rowOff>
        </xdr:from>
        <xdr:to>
          <xdr:col>13</xdr:col>
          <xdr:colOff>723900</xdr:colOff>
          <xdr:row>35</xdr:row>
          <xdr:rowOff>0</xdr:rowOff>
        </xdr:to>
        <xdr:sp macro="" textlink="">
          <xdr:nvSpPr>
            <xdr:cNvPr id="1049" name="Check Box 25" descr="Amortize?&#10;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13</xdr:col>
          <xdr:colOff>714375</xdr:colOff>
          <xdr:row>36</xdr:row>
          <xdr:rowOff>19050</xdr:rowOff>
        </xdr:to>
        <xdr:sp macro="" textlink="">
          <xdr:nvSpPr>
            <xdr:cNvPr id="1050" name="Check Box 26" descr="Amortize?&#10;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180975</xdr:rowOff>
        </xdr:from>
        <xdr:to>
          <xdr:col>13</xdr:col>
          <xdr:colOff>714375</xdr:colOff>
          <xdr:row>37</xdr:row>
          <xdr:rowOff>9525</xdr:rowOff>
        </xdr:to>
        <xdr:sp macro="" textlink="">
          <xdr:nvSpPr>
            <xdr:cNvPr id="1052" name="Check Box 28" descr="Amortize?&#10;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180975</xdr:rowOff>
        </xdr:from>
        <xdr:to>
          <xdr:col>13</xdr:col>
          <xdr:colOff>714375</xdr:colOff>
          <xdr:row>38</xdr:row>
          <xdr:rowOff>0</xdr:rowOff>
        </xdr:to>
        <xdr:sp macro="" textlink="">
          <xdr:nvSpPr>
            <xdr:cNvPr id="1053" name="Check Box 29" descr="Amortize?&#10;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13</xdr:col>
          <xdr:colOff>704850</xdr:colOff>
          <xdr:row>39</xdr:row>
          <xdr:rowOff>19050</xdr:rowOff>
        </xdr:to>
        <xdr:sp macro="" textlink="">
          <xdr:nvSpPr>
            <xdr:cNvPr id="1054" name="Check Box 30" descr="Amortize?&#10;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13</xdr:col>
          <xdr:colOff>704850</xdr:colOff>
          <xdr:row>40</xdr:row>
          <xdr:rowOff>19050</xdr:rowOff>
        </xdr:to>
        <xdr:sp macro="" textlink="">
          <xdr:nvSpPr>
            <xdr:cNvPr id="1055" name="Check Box 31" descr="Amortize?&#10;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13</xdr:col>
          <xdr:colOff>704850</xdr:colOff>
          <xdr:row>41</xdr:row>
          <xdr:rowOff>9525</xdr:rowOff>
        </xdr:to>
        <xdr:sp macro="" textlink="">
          <xdr:nvSpPr>
            <xdr:cNvPr id="1056" name="Check Box 32" descr="Amortize?&#10;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190500</xdr:rowOff>
        </xdr:from>
        <xdr:to>
          <xdr:col>13</xdr:col>
          <xdr:colOff>704850</xdr:colOff>
          <xdr:row>42</xdr:row>
          <xdr:rowOff>9525</xdr:rowOff>
        </xdr:to>
        <xdr:sp macro="" textlink="">
          <xdr:nvSpPr>
            <xdr:cNvPr id="1058" name="Check Box 34" descr="Amortize?&#10;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13</xdr:col>
          <xdr:colOff>704850</xdr:colOff>
          <xdr:row>43</xdr:row>
          <xdr:rowOff>19050</xdr:rowOff>
        </xdr:to>
        <xdr:sp macro="" textlink="">
          <xdr:nvSpPr>
            <xdr:cNvPr id="1060" name="Check Box 36" descr="Amortize?&#10;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9525</xdr:rowOff>
        </xdr:from>
        <xdr:to>
          <xdr:col>13</xdr:col>
          <xdr:colOff>704850</xdr:colOff>
          <xdr:row>44</xdr:row>
          <xdr:rowOff>19050</xdr:rowOff>
        </xdr:to>
        <xdr:sp macro="" textlink="">
          <xdr:nvSpPr>
            <xdr:cNvPr id="1061" name="Check Box 37" descr="Amortize?&#10;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48</xdr:row>
          <xdr:rowOff>9525</xdr:rowOff>
        </xdr:from>
        <xdr:to>
          <xdr:col>3</xdr:col>
          <xdr:colOff>9525</xdr:colOff>
          <xdr:row>49</xdr:row>
          <xdr:rowOff>9525</xdr:rowOff>
        </xdr:to>
        <xdr:sp macro="" textlink="">
          <xdr:nvSpPr>
            <xdr:cNvPr id="1062" name="Check Box 38" descr="Subassembly?&#10;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49</xdr:row>
          <xdr:rowOff>9525</xdr:rowOff>
        </xdr:from>
        <xdr:to>
          <xdr:col>3</xdr:col>
          <xdr:colOff>9525</xdr:colOff>
          <xdr:row>50</xdr:row>
          <xdr:rowOff>9525</xdr:rowOff>
        </xdr:to>
        <xdr:sp macro="" textlink="">
          <xdr:nvSpPr>
            <xdr:cNvPr id="1063" name="Check Box 39" descr="Subassembly?&#10;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54</xdr:row>
          <xdr:rowOff>9525</xdr:rowOff>
        </xdr:from>
        <xdr:to>
          <xdr:col>3</xdr:col>
          <xdr:colOff>0</xdr:colOff>
          <xdr:row>55</xdr:row>
          <xdr:rowOff>9525</xdr:rowOff>
        </xdr:to>
        <xdr:sp macro="" textlink="">
          <xdr:nvSpPr>
            <xdr:cNvPr id="1064" name="Check Box 40" descr="Subassembly?&#10;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55</xdr:row>
          <xdr:rowOff>9525</xdr:rowOff>
        </xdr:from>
        <xdr:to>
          <xdr:col>3</xdr:col>
          <xdr:colOff>0</xdr:colOff>
          <xdr:row>56</xdr:row>
          <xdr:rowOff>9525</xdr:rowOff>
        </xdr:to>
        <xdr:sp macro="" textlink="">
          <xdr:nvSpPr>
            <xdr:cNvPr id="1065" name="Check Box 41" descr="Subassembly?&#10;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608162</xdr:colOff>
      <xdr:row>31</xdr:row>
      <xdr:rowOff>368747</xdr:rowOff>
    </xdr:from>
    <xdr:to>
      <xdr:col>24</xdr:col>
      <xdr:colOff>579587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2057" name="Check Box 9" descr="Amortize?&#10;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2059" name="Check Box 11" descr="Amortize?&#10;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2060" name="Check Box 12" descr="Amortize?&#10;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2061" name="Check Box 13" descr="Amortize?&#10;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2062" name="Check Box 14" descr="Amortize?&#10;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2063" name="Check Box 15" descr="Amortize?&#10;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2064" name="Check Box 16" descr="Amortize?&#10;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2065" name="Check Box 17" descr="Amortize?&#10;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2066" name="Check Box 18" descr="Amortize?&#10;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581025</xdr:colOff>
          <xdr:row>40</xdr:row>
          <xdr:rowOff>200025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2067" name="Check Box 19" descr="Amortize?&#10;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581025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2068" name="Check Box 20" descr="Amortize?&#10;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581025</xdr:colOff>
          <xdr:row>42</xdr:row>
          <xdr:rowOff>190500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2069" name="Check Box 21" descr="Amortize?&#10;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3605</xdr:colOff>
      <xdr:row>32</xdr:row>
      <xdr:rowOff>634</xdr:rowOff>
    </xdr:from>
    <xdr:to>
      <xdr:col>24</xdr:col>
      <xdr:colOff>584630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5130" name="Check Box 10" descr="Amortize?&#10;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2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5131" name="Check Box 11" descr="Amortize?&#10;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2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5132" name="Check Box 12" descr="Amortize?&#10;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2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5133" name="Check Box 13" descr="Amortize?&#10;" hidden="1">
              <a:extLst>
                <a:ext uri="{63B3BB69-23CF-44E3-9099-C40C66FF867C}">
                  <a14:compatExt spid="_x0000_s5133"/>
                </a:ext>
                <a:ext uri="{FF2B5EF4-FFF2-40B4-BE49-F238E27FC236}">
                  <a16:creationId xmlns:a16="http://schemas.microsoft.com/office/drawing/2014/main" id="{00000000-0008-0000-0200-00000D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5134" name="Check Box 14" descr="Amortize?&#10;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2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5135" name="Check Box 15" descr="Amortize?&#10;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2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5136" name="Check Box 16" descr="Amortize?&#10;" hidden="1">
              <a:extLst>
                <a:ext uri="{63B3BB69-23CF-44E3-9099-C40C66FF867C}">
                  <a14:compatExt spid="_x0000_s5136"/>
                </a:ext>
                <a:ext uri="{FF2B5EF4-FFF2-40B4-BE49-F238E27FC236}">
                  <a16:creationId xmlns:a16="http://schemas.microsoft.com/office/drawing/2014/main" id="{00000000-0008-0000-0200-000010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5137" name="Check Box 17" descr="Amortize?&#10;" hidden="1">
              <a:extLst>
                <a:ext uri="{63B3BB69-23CF-44E3-9099-C40C66FF867C}">
                  <a14:compatExt spid="_x0000_s5137"/>
                </a:ext>
                <a:ext uri="{FF2B5EF4-FFF2-40B4-BE49-F238E27FC236}">
                  <a16:creationId xmlns:a16="http://schemas.microsoft.com/office/drawing/2014/main" id="{00000000-0008-0000-0200-00001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5138" name="Check Box 18" descr="Amortize?&#10;" hidden="1">
              <a:extLst>
                <a:ext uri="{63B3BB69-23CF-44E3-9099-C40C66FF867C}">
                  <a14:compatExt spid="_x0000_s5138"/>
                </a:ext>
                <a:ext uri="{FF2B5EF4-FFF2-40B4-BE49-F238E27FC236}">
                  <a16:creationId xmlns:a16="http://schemas.microsoft.com/office/drawing/2014/main" id="{00000000-0008-0000-0200-00001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41</xdr:row>
          <xdr:rowOff>0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5139" name="Check Box 19" descr="Amortize?&#10;" hidden="1">
              <a:extLst>
                <a:ext uri="{63B3BB69-23CF-44E3-9099-C40C66FF867C}">
                  <a14:compatExt spid="_x0000_s5139"/>
                </a:ext>
                <a:ext uri="{FF2B5EF4-FFF2-40B4-BE49-F238E27FC236}">
                  <a16:creationId xmlns:a16="http://schemas.microsoft.com/office/drawing/2014/main" id="{00000000-0008-0000-0200-00001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5140" name="Check Box 20" descr="Amortize?&#10;" hidden="1">
              <a:extLst>
                <a:ext uri="{63B3BB69-23CF-44E3-9099-C40C66FF867C}">
                  <a14:compatExt spid="_x0000_s5140"/>
                </a:ext>
                <a:ext uri="{FF2B5EF4-FFF2-40B4-BE49-F238E27FC236}">
                  <a16:creationId xmlns:a16="http://schemas.microsoft.com/office/drawing/2014/main" id="{00000000-0008-0000-0200-00001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5141" name="Check Box 21" descr="Amortize?&#10;" hidden="1">
              <a:extLst>
                <a:ext uri="{63B3BB69-23CF-44E3-9099-C40C66FF867C}">
                  <a14:compatExt spid="_x0000_s5141"/>
                </a:ext>
                <a:ext uri="{FF2B5EF4-FFF2-40B4-BE49-F238E27FC236}">
                  <a16:creationId xmlns:a16="http://schemas.microsoft.com/office/drawing/2014/main" id="{00000000-0008-0000-0200-00001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3605</xdr:colOff>
      <xdr:row>32</xdr:row>
      <xdr:rowOff>634</xdr:rowOff>
    </xdr:from>
    <xdr:to>
      <xdr:col>24</xdr:col>
      <xdr:colOff>584630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6154" name="Check Box 10" descr="Amortize?&#10;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3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6155" name="Check Box 11" descr="Amortize?&#10;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3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6156" name="Check Box 12" descr="Amortize?&#10;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3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6157" name="Check Box 13" descr="Amortize?&#10;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3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6158" name="Check Box 14" descr="Amortize?&#10;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3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6159" name="Check Box 15" descr="Amortize?&#10;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3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6160" name="Check Box 16" descr="Amortize?&#10;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3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6161" name="Check Box 17" descr="Amortize?&#10;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3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6162" name="Check Box 18" descr="Amortize?&#10;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3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41</xdr:row>
          <xdr:rowOff>0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6163" name="Check Box 19" descr="Amortize?&#10;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3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6164" name="Check Box 20" descr="Amortize?&#10;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3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6165" name="Check Box 21" descr="Amortize?&#10;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3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3605</xdr:colOff>
      <xdr:row>32</xdr:row>
      <xdr:rowOff>634</xdr:rowOff>
    </xdr:from>
    <xdr:to>
      <xdr:col>24</xdr:col>
      <xdr:colOff>584630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7190" name="Check Box 22" descr="Amortize?&#10;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4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7191" name="Check Box 23" descr="Amortize?&#10;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4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7192" name="Check Box 24" descr="Amortize?&#10;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4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7193" name="Check Box 25" descr="Amortize?&#10;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4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7194" name="Check Box 26" descr="Amortize?&#10;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4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7195" name="Check Box 27" descr="Amortize?&#10;" hidden="1">
              <a:extLst>
                <a:ext uri="{63B3BB69-23CF-44E3-9099-C40C66FF867C}">
                  <a14:compatExt spid="_x0000_s7195"/>
                </a:ext>
                <a:ext uri="{FF2B5EF4-FFF2-40B4-BE49-F238E27FC236}">
                  <a16:creationId xmlns:a16="http://schemas.microsoft.com/office/drawing/2014/main" id="{00000000-0008-0000-0400-00001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7196" name="Check Box 28" descr="Amortize?&#10;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4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7197" name="Check Box 29" descr="Amortize?&#10;" hidden="1">
              <a:extLst>
                <a:ext uri="{63B3BB69-23CF-44E3-9099-C40C66FF867C}">
                  <a14:compatExt spid="_x0000_s7197"/>
                </a:ext>
                <a:ext uri="{FF2B5EF4-FFF2-40B4-BE49-F238E27FC236}">
                  <a16:creationId xmlns:a16="http://schemas.microsoft.com/office/drawing/2014/main" id="{00000000-0008-0000-0400-00001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7198" name="Check Box 30" descr="Amortize?&#10;" hidden="1">
              <a:extLst>
                <a:ext uri="{63B3BB69-23CF-44E3-9099-C40C66FF867C}">
                  <a14:compatExt spid="_x0000_s7198"/>
                </a:ext>
                <a:ext uri="{FF2B5EF4-FFF2-40B4-BE49-F238E27FC236}">
                  <a16:creationId xmlns:a16="http://schemas.microsoft.com/office/drawing/2014/main" id="{00000000-0008-0000-0400-00001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41</xdr:row>
          <xdr:rowOff>0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7199" name="Check Box 31" descr="Amortize?&#10;" hidden="1">
              <a:extLst>
                <a:ext uri="{63B3BB69-23CF-44E3-9099-C40C66FF867C}">
                  <a14:compatExt spid="_x0000_s7199"/>
                </a:ext>
                <a:ext uri="{FF2B5EF4-FFF2-40B4-BE49-F238E27FC236}">
                  <a16:creationId xmlns:a16="http://schemas.microsoft.com/office/drawing/2014/main" id="{00000000-0008-0000-0400-00001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7200" name="Check Box 32" descr="Amortize?&#10;" hidden="1">
              <a:extLst>
                <a:ext uri="{63B3BB69-23CF-44E3-9099-C40C66FF867C}">
                  <a14:compatExt spid="_x0000_s7200"/>
                </a:ext>
                <a:ext uri="{FF2B5EF4-FFF2-40B4-BE49-F238E27FC236}">
                  <a16:creationId xmlns:a16="http://schemas.microsoft.com/office/drawing/2014/main" id="{00000000-0008-0000-0400-00002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7201" name="Check Box 33" descr="Amortize?&#10;" hidden="1">
              <a:extLst>
                <a:ext uri="{63B3BB69-23CF-44E3-9099-C40C66FF867C}">
                  <a14:compatExt spid="_x0000_s7201"/>
                </a:ext>
                <a:ext uri="{FF2B5EF4-FFF2-40B4-BE49-F238E27FC236}">
                  <a16:creationId xmlns:a16="http://schemas.microsoft.com/office/drawing/2014/main" id="{00000000-0008-0000-0400-00002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3605</xdr:colOff>
      <xdr:row>32</xdr:row>
      <xdr:rowOff>634</xdr:rowOff>
    </xdr:from>
    <xdr:to>
      <xdr:col>24</xdr:col>
      <xdr:colOff>584630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8202" name="Check Box 10" descr="Amortize?&#10;" hidden="1">
              <a:extLst>
                <a:ext uri="{63B3BB69-23CF-44E3-9099-C40C66FF867C}">
                  <a14:compatExt spid="_x0000_s8202"/>
                </a:ext>
                <a:ext uri="{FF2B5EF4-FFF2-40B4-BE49-F238E27FC236}">
                  <a16:creationId xmlns:a16="http://schemas.microsoft.com/office/drawing/2014/main" id="{00000000-0008-0000-0500-00000A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8203" name="Check Box 11" descr="Amortize?&#10;" hidden="1">
              <a:extLst>
                <a:ext uri="{63B3BB69-23CF-44E3-9099-C40C66FF867C}">
                  <a14:compatExt spid="_x0000_s8203"/>
                </a:ext>
                <a:ext uri="{FF2B5EF4-FFF2-40B4-BE49-F238E27FC236}">
                  <a16:creationId xmlns:a16="http://schemas.microsoft.com/office/drawing/2014/main" id="{00000000-0008-0000-0500-00000B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8204" name="Check Box 12" descr="Amortize?&#10;" hidden="1">
              <a:extLst>
                <a:ext uri="{63B3BB69-23CF-44E3-9099-C40C66FF867C}">
                  <a14:compatExt spid="_x0000_s8204"/>
                </a:ext>
                <a:ext uri="{FF2B5EF4-FFF2-40B4-BE49-F238E27FC236}">
                  <a16:creationId xmlns:a16="http://schemas.microsoft.com/office/drawing/2014/main" id="{00000000-0008-0000-0500-00000C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8205" name="Check Box 13" descr="Amortize?&#10;" hidden="1">
              <a:extLst>
                <a:ext uri="{63B3BB69-23CF-44E3-9099-C40C66FF867C}">
                  <a14:compatExt spid="_x0000_s8205"/>
                </a:ext>
                <a:ext uri="{FF2B5EF4-FFF2-40B4-BE49-F238E27FC236}">
                  <a16:creationId xmlns:a16="http://schemas.microsoft.com/office/drawing/2014/main" id="{00000000-0008-0000-0500-00000D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8206" name="Check Box 14" descr="Amortize?&#10;" hidden="1">
              <a:extLst>
                <a:ext uri="{63B3BB69-23CF-44E3-9099-C40C66FF867C}">
                  <a14:compatExt spid="_x0000_s8206"/>
                </a:ext>
                <a:ext uri="{FF2B5EF4-FFF2-40B4-BE49-F238E27FC236}">
                  <a16:creationId xmlns:a16="http://schemas.microsoft.com/office/drawing/2014/main" id="{00000000-0008-0000-0500-00000E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8207" name="Check Box 15" descr="Amortize?&#10;" hidden="1">
              <a:extLst>
                <a:ext uri="{63B3BB69-23CF-44E3-9099-C40C66FF867C}">
                  <a14:compatExt spid="_x0000_s8207"/>
                </a:ext>
                <a:ext uri="{FF2B5EF4-FFF2-40B4-BE49-F238E27FC236}">
                  <a16:creationId xmlns:a16="http://schemas.microsoft.com/office/drawing/2014/main" id="{00000000-0008-0000-0500-00000F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8208" name="Check Box 16" descr="Amortize?&#10;" hidden="1">
              <a:extLst>
                <a:ext uri="{63B3BB69-23CF-44E3-9099-C40C66FF867C}">
                  <a14:compatExt spid="_x0000_s8208"/>
                </a:ext>
                <a:ext uri="{FF2B5EF4-FFF2-40B4-BE49-F238E27FC236}">
                  <a16:creationId xmlns:a16="http://schemas.microsoft.com/office/drawing/2014/main" id="{00000000-0008-0000-0500-000010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8209" name="Check Box 17" descr="Amortize?&#10;" hidden="1">
              <a:extLst>
                <a:ext uri="{63B3BB69-23CF-44E3-9099-C40C66FF867C}">
                  <a14:compatExt spid="_x0000_s8209"/>
                </a:ext>
                <a:ext uri="{FF2B5EF4-FFF2-40B4-BE49-F238E27FC236}">
                  <a16:creationId xmlns:a16="http://schemas.microsoft.com/office/drawing/2014/main" id="{00000000-0008-0000-0500-00001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8210" name="Check Box 18" descr="Amortize?&#10;" hidden="1">
              <a:extLst>
                <a:ext uri="{63B3BB69-23CF-44E3-9099-C40C66FF867C}">
                  <a14:compatExt spid="_x0000_s8210"/>
                </a:ext>
                <a:ext uri="{FF2B5EF4-FFF2-40B4-BE49-F238E27FC236}">
                  <a16:creationId xmlns:a16="http://schemas.microsoft.com/office/drawing/2014/main" id="{00000000-0008-0000-0500-00001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41</xdr:row>
          <xdr:rowOff>0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8211" name="Check Box 19" descr="Amortize?&#10;" hidden="1">
              <a:extLst>
                <a:ext uri="{63B3BB69-23CF-44E3-9099-C40C66FF867C}">
                  <a14:compatExt spid="_x0000_s8211"/>
                </a:ext>
                <a:ext uri="{FF2B5EF4-FFF2-40B4-BE49-F238E27FC236}">
                  <a16:creationId xmlns:a16="http://schemas.microsoft.com/office/drawing/2014/main" id="{00000000-0008-0000-0500-00001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8212" name="Check Box 20" descr="Amortize?&#10;" hidden="1">
              <a:extLst>
                <a:ext uri="{63B3BB69-23CF-44E3-9099-C40C66FF867C}">
                  <a14:compatExt spid="_x0000_s8212"/>
                </a:ext>
                <a:ext uri="{FF2B5EF4-FFF2-40B4-BE49-F238E27FC236}">
                  <a16:creationId xmlns:a16="http://schemas.microsoft.com/office/drawing/2014/main" id="{00000000-0008-0000-0500-00001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8213" name="Check Box 21" descr="Amortize?&#10;" hidden="1">
              <a:extLst>
                <a:ext uri="{63B3BB69-23CF-44E3-9099-C40C66FF867C}">
                  <a14:compatExt spid="_x0000_s8213"/>
                </a:ext>
                <a:ext uri="{FF2B5EF4-FFF2-40B4-BE49-F238E27FC236}">
                  <a16:creationId xmlns:a16="http://schemas.microsoft.com/office/drawing/2014/main" id="{00000000-0008-0000-0500-00001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3605</xdr:colOff>
      <xdr:row>32</xdr:row>
      <xdr:rowOff>634</xdr:rowOff>
    </xdr:from>
    <xdr:to>
      <xdr:col>24</xdr:col>
      <xdr:colOff>584630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9226" name="Check Box 10" descr="Amortize?&#10;" hidden="1">
              <a:extLst>
                <a:ext uri="{63B3BB69-23CF-44E3-9099-C40C66FF867C}">
                  <a14:compatExt spid="_x0000_s9226"/>
                </a:ext>
                <a:ext uri="{FF2B5EF4-FFF2-40B4-BE49-F238E27FC236}">
                  <a16:creationId xmlns:a16="http://schemas.microsoft.com/office/drawing/2014/main" id="{00000000-0008-0000-0600-00000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9227" name="Check Box 11" descr="Amortize?&#10;" hidden="1">
              <a:extLst>
                <a:ext uri="{63B3BB69-23CF-44E3-9099-C40C66FF867C}">
                  <a14:compatExt spid="_x0000_s9227"/>
                </a:ext>
                <a:ext uri="{FF2B5EF4-FFF2-40B4-BE49-F238E27FC236}">
                  <a16:creationId xmlns:a16="http://schemas.microsoft.com/office/drawing/2014/main" id="{00000000-0008-0000-0600-00000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9228" name="Check Box 12" descr="Amortize?&#10;" hidden="1">
              <a:extLst>
                <a:ext uri="{63B3BB69-23CF-44E3-9099-C40C66FF867C}">
                  <a14:compatExt spid="_x0000_s9228"/>
                </a:ext>
                <a:ext uri="{FF2B5EF4-FFF2-40B4-BE49-F238E27FC236}">
                  <a16:creationId xmlns:a16="http://schemas.microsoft.com/office/drawing/2014/main" id="{00000000-0008-0000-0600-00000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9229" name="Check Box 13" descr="Amortize?&#10;" hidden="1">
              <a:extLst>
                <a:ext uri="{63B3BB69-23CF-44E3-9099-C40C66FF867C}">
                  <a14:compatExt spid="_x0000_s9229"/>
                </a:ext>
                <a:ext uri="{FF2B5EF4-FFF2-40B4-BE49-F238E27FC236}">
                  <a16:creationId xmlns:a16="http://schemas.microsoft.com/office/drawing/2014/main" id="{00000000-0008-0000-0600-00000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9230" name="Check Box 14" descr="Amortize?&#10;" hidden="1">
              <a:extLst>
                <a:ext uri="{63B3BB69-23CF-44E3-9099-C40C66FF867C}">
                  <a14:compatExt spid="_x0000_s9230"/>
                </a:ext>
                <a:ext uri="{FF2B5EF4-FFF2-40B4-BE49-F238E27FC236}">
                  <a16:creationId xmlns:a16="http://schemas.microsoft.com/office/drawing/2014/main" id="{00000000-0008-0000-0600-00000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9231" name="Check Box 15" descr="Amortize?&#10;" hidden="1">
              <a:extLst>
                <a:ext uri="{63B3BB69-23CF-44E3-9099-C40C66FF867C}">
                  <a14:compatExt spid="_x0000_s9231"/>
                </a:ext>
                <a:ext uri="{FF2B5EF4-FFF2-40B4-BE49-F238E27FC236}">
                  <a16:creationId xmlns:a16="http://schemas.microsoft.com/office/drawing/2014/main" id="{00000000-0008-0000-0600-00000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9232" name="Check Box 16" descr="Amortize?&#10;" hidden="1">
              <a:extLst>
                <a:ext uri="{63B3BB69-23CF-44E3-9099-C40C66FF867C}">
                  <a14:compatExt spid="_x0000_s9232"/>
                </a:ext>
                <a:ext uri="{FF2B5EF4-FFF2-40B4-BE49-F238E27FC236}">
                  <a16:creationId xmlns:a16="http://schemas.microsoft.com/office/drawing/2014/main" id="{00000000-0008-0000-0600-00001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9233" name="Check Box 17" descr="Amortize?&#10;" hidden="1">
              <a:extLst>
                <a:ext uri="{63B3BB69-23CF-44E3-9099-C40C66FF867C}">
                  <a14:compatExt spid="_x0000_s9233"/>
                </a:ext>
                <a:ext uri="{FF2B5EF4-FFF2-40B4-BE49-F238E27FC236}">
                  <a16:creationId xmlns:a16="http://schemas.microsoft.com/office/drawing/2014/main" id="{00000000-0008-0000-0600-00001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9234" name="Check Box 18" descr="Amortize?&#10;" hidden="1">
              <a:extLst>
                <a:ext uri="{63B3BB69-23CF-44E3-9099-C40C66FF867C}">
                  <a14:compatExt spid="_x0000_s9234"/>
                </a:ext>
                <a:ext uri="{FF2B5EF4-FFF2-40B4-BE49-F238E27FC236}">
                  <a16:creationId xmlns:a16="http://schemas.microsoft.com/office/drawing/2014/main" id="{00000000-0008-0000-0600-00001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41</xdr:row>
          <xdr:rowOff>0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9235" name="Check Box 19" descr="Amortize?&#10;" hidden="1">
              <a:extLst>
                <a:ext uri="{63B3BB69-23CF-44E3-9099-C40C66FF867C}">
                  <a14:compatExt spid="_x0000_s9235"/>
                </a:ext>
                <a:ext uri="{FF2B5EF4-FFF2-40B4-BE49-F238E27FC236}">
                  <a16:creationId xmlns:a16="http://schemas.microsoft.com/office/drawing/2014/main" id="{00000000-0008-0000-0600-00001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9236" name="Check Box 20" descr="Amortize?&#10;" hidden="1">
              <a:extLst>
                <a:ext uri="{63B3BB69-23CF-44E3-9099-C40C66FF867C}">
                  <a14:compatExt spid="_x0000_s9236"/>
                </a:ext>
                <a:ext uri="{FF2B5EF4-FFF2-40B4-BE49-F238E27FC236}">
                  <a16:creationId xmlns:a16="http://schemas.microsoft.com/office/drawing/2014/main" id="{00000000-0008-0000-0600-00001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9237" name="Check Box 21" descr="Amortize?&#10;" hidden="1">
              <a:extLst>
                <a:ext uri="{63B3BB69-23CF-44E3-9099-C40C66FF867C}">
                  <a14:compatExt spid="_x0000_s9237"/>
                </a:ext>
                <a:ext uri="{FF2B5EF4-FFF2-40B4-BE49-F238E27FC236}">
                  <a16:creationId xmlns:a16="http://schemas.microsoft.com/office/drawing/2014/main" id="{00000000-0008-0000-0600-00001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3605</xdr:colOff>
      <xdr:row>32</xdr:row>
      <xdr:rowOff>634</xdr:rowOff>
    </xdr:from>
    <xdr:to>
      <xdr:col>24</xdr:col>
      <xdr:colOff>584630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10262" name="Check Box 22" descr="Amortize?&#10;" hidden="1">
              <a:extLst>
                <a:ext uri="{63B3BB69-23CF-44E3-9099-C40C66FF867C}">
                  <a14:compatExt spid="_x0000_s10262"/>
                </a:ext>
                <a:ext uri="{FF2B5EF4-FFF2-40B4-BE49-F238E27FC236}">
                  <a16:creationId xmlns:a16="http://schemas.microsoft.com/office/drawing/2014/main" id="{00000000-0008-0000-0700-00001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10263" name="Check Box 23" descr="Amortize?&#10;" hidden="1">
              <a:extLst>
                <a:ext uri="{63B3BB69-23CF-44E3-9099-C40C66FF867C}">
                  <a14:compatExt spid="_x0000_s10263"/>
                </a:ext>
                <a:ext uri="{FF2B5EF4-FFF2-40B4-BE49-F238E27FC236}">
                  <a16:creationId xmlns:a16="http://schemas.microsoft.com/office/drawing/2014/main" id="{00000000-0008-0000-0700-00001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10264" name="Check Box 24" descr="Amortize?&#10;" hidden="1">
              <a:extLst>
                <a:ext uri="{63B3BB69-23CF-44E3-9099-C40C66FF867C}">
                  <a14:compatExt spid="_x0000_s10264"/>
                </a:ext>
                <a:ext uri="{FF2B5EF4-FFF2-40B4-BE49-F238E27FC236}">
                  <a16:creationId xmlns:a16="http://schemas.microsoft.com/office/drawing/2014/main" id="{00000000-0008-0000-0700-00001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10265" name="Check Box 25" descr="Amortize?&#10;" hidden="1">
              <a:extLst>
                <a:ext uri="{63B3BB69-23CF-44E3-9099-C40C66FF867C}">
                  <a14:compatExt spid="_x0000_s10265"/>
                </a:ext>
                <a:ext uri="{FF2B5EF4-FFF2-40B4-BE49-F238E27FC236}">
                  <a16:creationId xmlns:a16="http://schemas.microsoft.com/office/drawing/2014/main" id="{00000000-0008-0000-0700-00001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10266" name="Check Box 26" descr="Amortize?&#10;" hidden="1">
              <a:extLst>
                <a:ext uri="{63B3BB69-23CF-44E3-9099-C40C66FF867C}">
                  <a14:compatExt spid="_x0000_s10266"/>
                </a:ext>
                <a:ext uri="{FF2B5EF4-FFF2-40B4-BE49-F238E27FC236}">
                  <a16:creationId xmlns:a16="http://schemas.microsoft.com/office/drawing/2014/main" id="{00000000-0008-0000-0700-00001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10267" name="Check Box 27" descr="Amortize?&#10;" hidden="1">
              <a:extLst>
                <a:ext uri="{63B3BB69-23CF-44E3-9099-C40C66FF867C}">
                  <a14:compatExt spid="_x0000_s10267"/>
                </a:ext>
                <a:ext uri="{FF2B5EF4-FFF2-40B4-BE49-F238E27FC236}">
                  <a16:creationId xmlns:a16="http://schemas.microsoft.com/office/drawing/2014/main" id="{00000000-0008-0000-0700-00001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10268" name="Check Box 28" descr="Amortize?&#10;" hidden="1">
              <a:extLst>
                <a:ext uri="{63B3BB69-23CF-44E3-9099-C40C66FF867C}">
                  <a14:compatExt spid="_x0000_s10268"/>
                </a:ext>
                <a:ext uri="{FF2B5EF4-FFF2-40B4-BE49-F238E27FC236}">
                  <a16:creationId xmlns:a16="http://schemas.microsoft.com/office/drawing/2014/main" id="{00000000-0008-0000-0700-00001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10269" name="Check Box 29" descr="Amortize?&#10;" hidden="1">
              <a:extLst>
                <a:ext uri="{63B3BB69-23CF-44E3-9099-C40C66FF867C}">
                  <a14:compatExt spid="_x0000_s10269"/>
                </a:ext>
                <a:ext uri="{FF2B5EF4-FFF2-40B4-BE49-F238E27FC236}">
                  <a16:creationId xmlns:a16="http://schemas.microsoft.com/office/drawing/2014/main" id="{00000000-0008-0000-0700-00001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10270" name="Check Box 30" descr="Amortize?&#10;" hidden="1">
              <a:extLst>
                <a:ext uri="{63B3BB69-23CF-44E3-9099-C40C66FF867C}">
                  <a14:compatExt spid="_x0000_s10270"/>
                </a:ext>
                <a:ext uri="{FF2B5EF4-FFF2-40B4-BE49-F238E27FC236}">
                  <a16:creationId xmlns:a16="http://schemas.microsoft.com/office/drawing/2014/main" id="{00000000-0008-0000-0700-00001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41</xdr:row>
          <xdr:rowOff>0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10271" name="Check Box 31" descr="Amortize?&#10;" hidden="1">
              <a:extLst>
                <a:ext uri="{63B3BB69-23CF-44E3-9099-C40C66FF867C}">
                  <a14:compatExt spid="_x0000_s10271"/>
                </a:ext>
                <a:ext uri="{FF2B5EF4-FFF2-40B4-BE49-F238E27FC236}">
                  <a16:creationId xmlns:a16="http://schemas.microsoft.com/office/drawing/2014/main" id="{00000000-0008-0000-0700-00001F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10272" name="Check Box 32" descr="Amortize?&#10;" hidden="1">
              <a:extLst>
                <a:ext uri="{63B3BB69-23CF-44E3-9099-C40C66FF867C}">
                  <a14:compatExt spid="_x0000_s10272"/>
                </a:ext>
                <a:ext uri="{FF2B5EF4-FFF2-40B4-BE49-F238E27FC236}">
                  <a16:creationId xmlns:a16="http://schemas.microsoft.com/office/drawing/2014/main" id="{00000000-0008-0000-0700-000020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10273" name="Check Box 33" descr="Amortize?&#10;" hidden="1">
              <a:extLst>
                <a:ext uri="{63B3BB69-23CF-44E3-9099-C40C66FF867C}">
                  <a14:compatExt spid="_x0000_s10273"/>
                </a:ext>
                <a:ext uri="{FF2B5EF4-FFF2-40B4-BE49-F238E27FC236}">
                  <a16:creationId xmlns:a16="http://schemas.microsoft.com/office/drawing/2014/main" id="{00000000-0008-0000-0700-00002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3605</xdr:colOff>
      <xdr:row>32</xdr:row>
      <xdr:rowOff>634</xdr:rowOff>
    </xdr:from>
    <xdr:to>
      <xdr:col>24</xdr:col>
      <xdr:colOff>584630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11274" name="Check Box 10" descr="Amortize?&#10;" hidden="1">
              <a:extLst>
                <a:ext uri="{63B3BB69-23CF-44E3-9099-C40C66FF867C}">
                  <a14:compatExt spid="_x0000_s11274"/>
                </a:ext>
                <a:ext uri="{FF2B5EF4-FFF2-40B4-BE49-F238E27FC236}">
                  <a16:creationId xmlns:a16="http://schemas.microsoft.com/office/drawing/2014/main" id="{00000000-0008-0000-0800-00000A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11275" name="Check Box 11" descr="Amortize?&#10;" hidden="1">
              <a:extLst>
                <a:ext uri="{63B3BB69-23CF-44E3-9099-C40C66FF867C}">
                  <a14:compatExt spid="_x0000_s11275"/>
                </a:ext>
                <a:ext uri="{FF2B5EF4-FFF2-40B4-BE49-F238E27FC236}">
                  <a16:creationId xmlns:a16="http://schemas.microsoft.com/office/drawing/2014/main" id="{00000000-0008-0000-0800-00000B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11276" name="Check Box 12" descr="Amortize?&#10;" hidden="1">
              <a:extLst>
                <a:ext uri="{63B3BB69-23CF-44E3-9099-C40C66FF867C}">
                  <a14:compatExt spid="_x0000_s11276"/>
                </a:ext>
                <a:ext uri="{FF2B5EF4-FFF2-40B4-BE49-F238E27FC236}">
                  <a16:creationId xmlns:a16="http://schemas.microsoft.com/office/drawing/2014/main" id="{00000000-0008-0000-0800-00000C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11277" name="Check Box 13" descr="Amortize?&#10;" hidden="1">
              <a:extLst>
                <a:ext uri="{63B3BB69-23CF-44E3-9099-C40C66FF867C}">
                  <a14:compatExt spid="_x0000_s11277"/>
                </a:ext>
                <a:ext uri="{FF2B5EF4-FFF2-40B4-BE49-F238E27FC236}">
                  <a16:creationId xmlns:a16="http://schemas.microsoft.com/office/drawing/2014/main" id="{00000000-0008-0000-0800-00000D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11278" name="Check Box 14" descr="Amortize?&#10;" hidden="1">
              <a:extLst>
                <a:ext uri="{63B3BB69-23CF-44E3-9099-C40C66FF867C}">
                  <a14:compatExt spid="_x0000_s11278"/>
                </a:ext>
                <a:ext uri="{FF2B5EF4-FFF2-40B4-BE49-F238E27FC236}">
                  <a16:creationId xmlns:a16="http://schemas.microsoft.com/office/drawing/2014/main" id="{00000000-0008-0000-0800-00000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11279" name="Check Box 15" descr="Amortize?&#10;" hidden="1">
              <a:extLst>
                <a:ext uri="{63B3BB69-23CF-44E3-9099-C40C66FF867C}">
                  <a14:compatExt spid="_x0000_s11279"/>
                </a:ext>
                <a:ext uri="{FF2B5EF4-FFF2-40B4-BE49-F238E27FC236}">
                  <a16:creationId xmlns:a16="http://schemas.microsoft.com/office/drawing/2014/main" id="{00000000-0008-0000-0800-00000F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11280" name="Check Box 16" descr="Amortize?&#10;" hidden="1">
              <a:extLst>
                <a:ext uri="{63B3BB69-23CF-44E3-9099-C40C66FF867C}">
                  <a14:compatExt spid="_x0000_s11280"/>
                </a:ext>
                <a:ext uri="{FF2B5EF4-FFF2-40B4-BE49-F238E27FC236}">
                  <a16:creationId xmlns:a16="http://schemas.microsoft.com/office/drawing/2014/main" id="{00000000-0008-0000-0800-000010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11281" name="Check Box 17" descr="Amortize?&#10;" hidden="1">
              <a:extLst>
                <a:ext uri="{63B3BB69-23CF-44E3-9099-C40C66FF867C}">
                  <a14:compatExt spid="_x0000_s11281"/>
                </a:ext>
                <a:ext uri="{FF2B5EF4-FFF2-40B4-BE49-F238E27FC236}">
                  <a16:creationId xmlns:a16="http://schemas.microsoft.com/office/drawing/2014/main" id="{00000000-0008-0000-0800-00001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11282" name="Check Box 18" descr="Amortize?&#10;" hidden="1">
              <a:extLst>
                <a:ext uri="{63B3BB69-23CF-44E3-9099-C40C66FF867C}">
                  <a14:compatExt spid="_x0000_s11282"/>
                </a:ext>
                <a:ext uri="{FF2B5EF4-FFF2-40B4-BE49-F238E27FC236}">
                  <a16:creationId xmlns:a16="http://schemas.microsoft.com/office/drawing/2014/main" id="{00000000-0008-0000-0800-00001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41</xdr:row>
          <xdr:rowOff>0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11283" name="Check Box 19" descr="Amortize?&#10;" hidden="1">
              <a:extLst>
                <a:ext uri="{63B3BB69-23CF-44E3-9099-C40C66FF867C}">
                  <a14:compatExt spid="_x0000_s11283"/>
                </a:ext>
                <a:ext uri="{FF2B5EF4-FFF2-40B4-BE49-F238E27FC236}">
                  <a16:creationId xmlns:a16="http://schemas.microsoft.com/office/drawing/2014/main" id="{00000000-0008-0000-0800-000013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11284" name="Check Box 20" descr="Amortize?&#10;" hidden="1">
              <a:extLst>
                <a:ext uri="{63B3BB69-23CF-44E3-9099-C40C66FF867C}">
                  <a14:compatExt spid="_x0000_s11284"/>
                </a:ext>
                <a:ext uri="{FF2B5EF4-FFF2-40B4-BE49-F238E27FC236}">
                  <a16:creationId xmlns:a16="http://schemas.microsoft.com/office/drawing/2014/main" id="{00000000-0008-0000-0800-00001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11285" name="Check Box 21" descr="Amortize?&#10;" hidden="1">
              <a:extLst>
                <a:ext uri="{63B3BB69-23CF-44E3-9099-C40C66FF867C}">
                  <a14:compatExt spid="_x0000_s11285"/>
                </a:ext>
                <a:ext uri="{FF2B5EF4-FFF2-40B4-BE49-F238E27FC236}">
                  <a16:creationId xmlns:a16="http://schemas.microsoft.com/office/drawing/2014/main" id="{00000000-0008-0000-0800-000015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3605</xdr:colOff>
      <xdr:row>32</xdr:row>
      <xdr:rowOff>634</xdr:rowOff>
    </xdr:from>
    <xdr:to>
      <xdr:col>24</xdr:col>
      <xdr:colOff>584630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12289" name="Check Box 1" descr="Amortize?&#10;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9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12290" name="Check Box 2" descr="Amortize?&#10;" hidden="1">
              <a:extLst>
                <a:ext uri="{63B3BB69-23CF-44E3-9099-C40C66FF867C}">
                  <a14:compatExt spid="_x0000_s12290"/>
                </a:ext>
                <a:ext uri="{FF2B5EF4-FFF2-40B4-BE49-F238E27FC236}">
                  <a16:creationId xmlns:a16="http://schemas.microsoft.com/office/drawing/2014/main" id="{00000000-0008-0000-0900-000002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12291" name="Check Box 3" descr="Amortize?&#10;" hidden="1">
              <a:extLst>
                <a:ext uri="{63B3BB69-23CF-44E3-9099-C40C66FF867C}">
                  <a14:compatExt spid="_x0000_s12291"/>
                </a:ext>
                <a:ext uri="{FF2B5EF4-FFF2-40B4-BE49-F238E27FC236}">
                  <a16:creationId xmlns:a16="http://schemas.microsoft.com/office/drawing/2014/main" id="{00000000-0008-0000-0900-000003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12292" name="Check Box 4" descr="Amortize?&#10;" hidden="1">
              <a:extLst>
                <a:ext uri="{63B3BB69-23CF-44E3-9099-C40C66FF867C}">
                  <a14:compatExt spid="_x0000_s12292"/>
                </a:ext>
                <a:ext uri="{FF2B5EF4-FFF2-40B4-BE49-F238E27FC236}">
                  <a16:creationId xmlns:a16="http://schemas.microsoft.com/office/drawing/2014/main" id="{00000000-0008-0000-0900-000004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12293" name="Check Box 5" descr="Amortize?&#10;" hidden="1">
              <a:extLst>
                <a:ext uri="{63B3BB69-23CF-44E3-9099-C40C66FF867C}">
                  <a14:compatExt spid="_x0000_s12293"/>
                </a:ext>
                <a:ext uri="{FF2B5EF4-FFF2-40B4-BE49-F238E27FC236}">
                  <a16:creationId xmlns:a16="http://schemas.microsoft.com/office/drawing/2014/main" id="{00000000-0008-0000-0900-000005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12294" name="Check Box 6" descr="Amortize?&#10;" hidden="1">
              <a:extLst>
                <a:ext uri="{63B3BB69-23CF-44E3-9099-C40C66FF867C}">
                  <a14:compatExt spid="_x0000_s12294"/>
                </a:ext>
                <a:ext uri="{FF2B5EF4-FFF2-40B4-BE49-F238E27FC236}">
                  <a16:creationId xmlns:a16="http://schemas.microsoft.com/office/drawing/2014/main" id="{00000000-0008-0000-0900-000006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12295" name="Check Box 7" descr="Amortize?&#10;" hidden="1">
              <a:extLst>
                <a:ext uri="{63B3BB69-23CF-44E3-9099-C40C66FF867C}">
                  <a14:compatExt spid="_x0000_s12295"/>
                </a:ext>
                <a:ext uri="{FF2B5EF4-FFF2-40B4-BE49-F238E27FC236}">
                  <a16:creationId xmlns:a16="http://schemas.microsoft.com/office/drawing/2014/main" id="{00000000-0008-0000-0900-000007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12296" name="Check Box 8" descr="Amortize?&#10;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9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12297" name="Check Box 9" descr="Amortize?&#10;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9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41</xdr:row>
          <xdr:rowOff>0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12298" name="Check Box 10" descr="Amortize?&#10;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9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12299" name="Check Box 11" descr="Amortize?&#10;" hidden="1">
              <a:extLst>
                <a:ext uri="{63B3BB69-23CF-44E3-9099-C40C66FF867C}">
                  <a14:compatExt spid="_x0000_s12299"/>
                </a:ext>
                <a:ext uri="{FF2B5EF4-FFF2-40B4-BE49-F238E27FC236}">
                  <a16:creationId xmlns:a16="http://schemas.microsoft.com/office/drawing/2014/main" id="{00000000-0008-0000-0900-00000B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12300" name="Check Box 12" descr="Amortize?&#10;" hidden="1">
              <a:extLst>
                <a:ext uri="{63B3BB69-23CF-44E3-9099-C40C66FF867C}">
                  <a14:compatExt spid="_x0000_s12300"/>
                </a:ext>
                <a:ext uri="{FF2B5EF4-FFF2-40B4-BE49-F238E27FC236}">
                  <a16:creationId xmlns:a16="http://schemas.microsoft.com/office/drawing/2014/main" id="{00000000-0008-0000-0900-00000C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3605</xdr:colOff>
      <xdr:row>32</xdr:row>
      <xdr:rowOff>634</xdr:rowOff>
    </xdr:from>
    <xdr:to>
      <xdr:col>24</xdr:col>
      <xdr:colOff>584630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13313" name="Check Box 1" descr="Amortize?&#10;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A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13314" name="Check Box 2" descr="Amortize?&#10;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A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13315" name="Check Box 3" descr="Amortize?&#10;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A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13316" name="Check Box 4" descr="Amortize?&#10;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A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13317" name="Check Box 5" descr="Amortize?&#10;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A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13318" name="Check Box 6" descr="Amortize?&#10;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A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13319" name="Check Box 7" descr="Amortize?&#10;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A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13320" name="Check Box 8" descr="Amortize?&#10;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A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13321" name="Check Box 9" descr="Amortize?&#10;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A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41</xdr:row>
          <xdr:rowOff>0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13322" name="Check Box 10" descr="Amortize?&#10;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A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13323" name="Check Box 11" descr="Amortize?&#10;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A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13324" name="Check Box 12" descr="Amortize?&#10;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A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3605</xdr:colOff>
      <xdr:row>32</xdr:row>
      <xdr:rowOff>634</xdr:rowOff>
    </xdr:from>
    <xdr:to>
      <xdr:col>24</xdr:col>
      <xdr:colOff>584630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14337" name="Check Box 1" descr="Amortize?&#10;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B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14338" name="Check Box 2" descr="Amortize?&#10;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B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14339" name="Check Box 3" descr="Amortize?&#10;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B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14340" name="Check Box 4" descr="Amortize?&#10;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B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14341" name="Check Box 5" descr="Amortize?&#10;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B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14342" name="Check Box 6" descr="Amortize?&#10;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B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14343" name="Check Box 7" descr="Amortize?&#10;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B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14344" name="Check Box 8" descr="Amortize?&#10;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B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14345" name="Check Box 9" descr="Amortize?&#10;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B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41</xdr:row>
          <xdr:rowOff>0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14346" name="Check Box 10" descr="Amortize?&#10;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B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14347" name="Check Box 11" descr="Amortize?&#10;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B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14348" name="Check Box 12" descr="Amortize?&#10;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B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13130</xdr:colOff>
      <xdr:row>32</xdr:row>
      <xdr:rowOff>634</xdr:rowOff>
    </xdr:from>
    <xdr:to>
      <xdr:col>24</xdr:col>
      <xdr:colOff>594155</xdr:colOff>
      <xdr:row>46</xdr:row>
      <xdr:rowOff>70646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32</xdr:row>
          <xdr:rowOff>0</xdr:rowOff>
        </xdr:from>
        <xdr:to>
          <xdr:col>14</xdr:col>
          <xdr:colOff>95250</xdr:colOff>
          <xdr:row>33</xdr:row>
          <xdr:rowOff>19050</xdr:rowOff>
        </xdr:to>
        <xdr:sp macro="" textlink="">
          <xdr:nvSpPr>
            <xdr:cNvPr id="15361" name="Check Box 1" descr="Amortize?&#10;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C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33</xdr:row>
          <xdr:rowOff>9525</xdr:rowOff>
        </xdr:from>
        <xdr:to>
          <xdr:col>14</xdr:col>
          <xdr:colOff>95250</xdr:colOff>
          <xdr:row>34</xdr:row>
          <xdr:rowOff>28575</xdr:rowOff>
        </xdr:to>
        <xdr:sp macro="" textlink="">
          <xdr:nvSpPr>
            <xdr:cNvPr id="15362" name="Check Box 2" descr="Amortize?&#10;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C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19050</xdr:colOff>
          <xdr:row>34</xdr:row>
          <xdr:rowOff>0</xdr:rowOff>
        </xdr:from>
        <xdr:to>
          <xdr:col>14</xdr:col>
          <xdr:colOff>95250</xdr:colOff>
          <xdr:row>35</xdr:row>
          <xdr:rowOff>9525</xdr:rowOff>
        </xdr:to>
        <xdr:sp macro="" textlink="">
          <xdr:nvSpPr>
            <xdr:cNvPr id="15363" name="Check Box 3" descr="Amortize?&#10;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C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35</xdr:row>
          <xdr:rowOff>0</xdr:rowOff>
        </xdr:from>
        <xdr:to>
          <xdr:col>14</xdr:col>
          <xdr:colOff>85725</xdr:colOff>
          <xdr:row>36</xdr:row>
          <xdr:rowOff>19050</xdr:rowOff>
        </xdr:to>
        <xdr:sp macro="" textlink="">
          <xdr:nvSpPr>
            <xdr:cNvPr id="15364" name="Check Box 4" descr="Amortize?&#10;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C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36</xdr:row>
          <xdr:rowOff>0</xdr:rowOff>
        </xdr:from>
        <xdr:to>
          <xdr:col>14</xdr:col>
          <xdr:colOff>85725</xdr:colOff>
          <xdr:row>37</xdr:row>
          <xdr:rowOff>19050</xdr:rowOff>
        </xdr:to>
        <xdr:sp macro="" textlink="">
          <xdr:nvSpPr>
            <xdr:cNvPr id="15365" name="Check Box 5" descr="Amortize?&#10;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C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</xdr:colOff>
          <xdr:row>37</xdr:row>
          <xdr:rowOff>0</xdr:rowOff>
        </xdr:from>
        <xdr:to>
          <xdr:col>14</xdr:col>
          <xdr:colOff>85725</xdr:colOff>
          <xdr:row>38</xdr:row>
          <xdr:rowOff>9525</xdr:rowOff>
        </xdr:to>
        <xdr:sp macro="" textlink="">
          <xdr:nvSpPr>
            <xdr:cNvPr id="15366" name="Check Box 6" descr="Amortize?&#10;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C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38</xdr:row>
          <xdr:rowOff>0</xdr:rowOff>
        </xdr:from>
        <xdr:to>
          <xdr:col>14</xdr:col>
          <xdr:colOff>76200</xdr:colOff>
          <xdr:row>39</xdr:row>
          <xdr:rowOff>19050</xdr:rowOff>
        </xdr:to>
        <xdr:sp macro="" textlink="">
          <xdr:nvSpPr>
            <xdr:cNvPr id="15367" name="Check Box 7" descr="Amortize?&#10;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C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39</xdr:row>
          <xdr:rowOff>0</xdr:rowOff>
        </xdr:from>
        <xdr:to>
          <xdr:col>14</xdr:col>
          <xdr:colOff>76200</xdr:colOff>
          <xdr:row>40</xdr:row>
          <xdr:rowOff>19050</xdr:rowOff>
        </xdr:to>
        <xdr:sp macro="" textlink="">
          <xdr:nvSpPr>
            <xdr:cNvPr id="15368" name="Check Box 8" descr="Amortize?&#10;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C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40</xdr:row>
          <xdr:rowOff>0</xdr:rowOff>
        </xdr:from>
        <xdr:to>
          <xdr:col>14</xdr:col>
          <xdr:colOff>76200</xdr:colOff>
          <xdr:row>41</xdr:row>
          <xdr:rowOff>9525</xdr:rowOff>
        </xdr:to>
        <xdr:sp macro="" textlink="">
          <xdr:nvSpPr>
            <xdr:cNvPr id="15369" name="Check Box 9" descr="Amortize?&#10;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C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41</xdr:row>
          <xdr:rowOff>0</xdr:rowOff>
        </xdr:from>
        <xdr:to>
          <xdr:col>14</xdr:col>
          <xdr:colOff>76200</xdr:colOff>
          <xdr:row>42</xdr:row>
          <xdr:rowOff>19050</xdr:rowOff>
        </xdr:to>
        <xdr:sp macro="" textlink="">
          <xdr:nvSpPr>
            <xdr:cNvPr id="15370" name="Check Box 10" descr="Amortize?&#10;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C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42</xdr:row>
          <xdr:rowOff>0</xdr:rowOff>
        </xdr:from>
        <xdr:to>
          <xdr:col>14</xdr:col>
          <xdr:colOff>76200</xdr:colOff>
          <xdr:row>43</xdr:row>
          <xdr:rowOff>19050</xdr:rowOff>
        </xdr:to>
        <xdr:sp macro="" textlink="">
          <xdr:nvSpPr>
            <xdr:cNvPr id="15371" name="Check Box 11" descr="Amortize?&#10;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C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43</xdr:row>
          <xdr:rowOff>0</xdr:rowOff>
        </xdr:from>
        <xdr:to>
          <xdr:col>14</xdr:col>
          <xdr:colOff>76200</xdr:colOff>
          <xdr:row>44</xdr:row>
          <xdr:rowOff>9525</xdr:rowOff>
        </xdr:to>
        <xdr:sp macro="" textlink="">
          <xdr:nvSpPr>
            <xdr:cNvPr id="15372" name="Check Box 12" descr="Amortize?&#10;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C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(Y/N)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7.xml"/><Relationship Id="rId7" Type="http://schemas.openxmlformats.org/officeDocument/2006/relationships/ctrlProp" Target="../ctrlProps/ctrlProp3.x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2.xml"/><Relationship Id="rId20" Type="http://schemas.openxmlformats.org/officeDocument/2006/relationships/ctrlProp" Target="../ctrlProps/ctrlProp16.xml"/><Relationship Id="rId29" Type="http://schemas.openxmlformats.org/officeDocument/2006/relationships/comments" Target="../comments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8.xml"/><Relationship Id="rId13" Type="http://schemas.openxmlformats.org/officeDocument/2006/relationships/ctrlProp" Target="../ctrlProps/ctrlProp3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7.xml"/><Relationship Id="rId12" Type="http://schemas.openxmlformats.org/officeDocument/2006/relationships/ctrlProp" Target="../ctrlProps/ctrlProp32.xml"/><Relationship Id="rId17" Type="http://schemas.openxmlformats.org/officeDocument/2006/relationships/comments" Target="../comments2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6.xml"/><Relationship Id="rId11" Type="http://schemas.openxmlformats.org/officeDocument/2006/relationships/ctrlProp" Target="../ctrlProps/ctrlProp31.xml"/><Relationship Id="rId5" Type="http://schemas.openxmlformats.org/officeDocument/2006/relationships/ctrlProp" Target="../ctrlProps/ctrlProp25.xml"/><Relationship Id="rId15" Type="http://schemas.openxmlformats.org/officeDocument/2006/relationships/ctrlProp" Target="../ctrlProps/ctrlProp35.xml"/><Relationship Id="rId10" Type="http://schemas.openxmlformats.org/officeDocument/2006/relationships/ctrlProp" Target="../ctrlProps/ctrlProp30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29.xml"/><Relationship Id="rId14" Type="http://schemas.openxmlformats.org/officeDocument/2006/relationships/ctrlProp" Target="../ctrlProps/ctrlProp3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0.xml"/><Relationship Id="rId13" Type="http://schemas.openxmlformats.org/officeDocument/2006/relationships/ctrlProp" Target="../ctrlProps/ctrlProp45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39.xml"/><Relationship Id="rId12" Type="http://schemas.openxmlformats.org/officeDocument/2006/relationships/ctrlProp" Target="../ctrlProps/ctrlProp44.xml"/><Relationship Id="rId17" Type="http://schemas.openxmlformats.org/officeDocument/2006/relationships/comments" Target="../comments3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48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38.xml"/><Relationship Id="rId11" Type="http://schemas.openxmlformats.org/officeDocument/2006/relationships/ctrlProp" Target="../ctrlProps/ctrlProp43.xml"/><Relationship Id="rId5" Type="http://schemas.openxmlformats.org/officeDocument/2006/relationships/ctrlProp" Target="../ctrlProps/ctrlProp37.xml"/><Relationship Id="rId15" Type="http://schemas.openxmlformats.org/officeDocument/2006/relationships/ctrlProp" Target="../ctrlProps/ctrlProp47.xml"/><Relationship Id="rId10" Type="http://schemas.openxmlformats.org/officeDocument/2006/relationships/ctrlProp" Target="../ctrlProps/ctrlProp42.xml"/><Relationship Id="rId4" Type="http://schemas.openxmlformats.org/officeDocument/2006/relationships/vmlDrawing" Target="../drawings/vmlDrawing6.vml"/><Relationship Id="rId9" Type="http://schemas.openxmlformats.org/officeDocument/2006/relationships/ctrlProp" Target="../ctrlProps/ctrlProp41.xml"/><Relationship Id="rId14" Type="http://schemas.openxmlformats.org/officeDocument/2006/relationships/ctrlProp" Target="../ctrlProps/ctrlProp4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2.xml"/><Relationship Id="rId13" Type="http://schemas.openxmlformats.org/officeDocument/2006/relationships/ctrlProp" Target="../ctrlProps/ctrlProp57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51.xml"/><Relationship Id="rId12" Type="http://schemas.openxmlformats.org/officeDocument/2006/relationships/ctrlProp" Target="../ctrlProps/ctrlProp56.xml"/><Relationship Id="rId17" Type="http://schemas.openxmlformats.org/officeDocument/2006/relationships/comments" Target="../comments4.xml"/><Relationship Id="rId2" Type="http://schemas.openxmlformats.org/officeDocument/2006/relationships/drawing" Target="../drawings/drawing4.xml"/><Relationship Id="rId16" Type="http://schemas.openxmlformats.org/officeDocument/2006/relationships/ctrlProp" Target="../ctrlProps/ctrlProp6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50.xml"/><Relationship Id="rId11" Type="http://schemas.openxmlformats.org/officeDocument/2006/relationships/ctrlProp" Target="../ctrlProps/ctrlProp55.xml"/><Relationship Id="rId5" Type="http://schemas.openxmlformats.org/officeDocument/2006/relationships/ctrlProp" Target="../ctrlProps/ctrlProp49.xml"/><Relationship Id="rId15" Type="http://schemas.openxmlformats.org/officeDocument/2006/relationships/ctrlProp" Target="../ctrlProps/ctrlProp59.xml"/><Relationship Id="rId10" Type="http://schemas.openxmlformats.org/officeDocument/2006/relationships/ctrlProp" Target="../ctrlProps/ctrlProp54.xml"/><Relationship Id="rId4" Type="http://schemas.openxmlformats.org/officeDocument/2006/relationships/vmlDrawing" Target="../drawings/vmlDrawing8.vml"/><Relationship Id="rId9" Type="http://schemas.openxmlformats.org/officeDocument/2006/relationships/ctrlProp" Target="../ctrlProps/ctrlProp53.xml"/><Relationship Id="rId14" Type="http://schemas.openxmlformats.org/officeDocument/2006/relationships/ctrlProp" Target="../ctrlProps/ctrlProp58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4.xml"/><Relationship Id="rId13" Type="http://schemas.openxmlformats.org/officeDocument/2006/relationships/ctrlProp" Target="../ctrlProps/ctrlProp69.xml"/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63.xml"/><Relationship Id="rId12" Type="http://schemas.openxmlformats.org/officeDocument/2006/relationships/ctrlProp" Target="../ctrlProps/ctrlProp68.xml"/><Relationship Id="rId17" Type="http://schemas.openxmlformats.org/officeDocument/2006/relationships/comments" Target="../comments5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72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62.xml"/><Relationship Id="rId11" Type="http://schemas.openxmlformats.org/officeDocument/2006/relationships/ctrlProp" Target="../ctrlProps/ctrlProp67.xml"/><Relationship Id="rId5" Type="http://schemas.openxmlformats.org/officeDocument/2006/relationships/ctrlProp" Target="../ctrlProps/ctrlProp61.xml"/><Relationship Id="rId15" Type="http://schemas.openxmlformats.org/officeDocument/2006/relationships/ctrlProp" Target="../ctrlProps/ctrlProp71.xml"/><Relationship Id="rId10" Type="http://schemas.openxmlformats.org/officeDocument/2006/relationships/ctrlProp" Target="../ctrlProps/ctrlProp66.xml"/><Relationship Id="rId4" Type="http://schemas.openxmlformats.org/officeDocument/2006/relationships/vmlDrawing" Target="../drawings/vmlDrawing10.vml"/><Relationship Id="rId9" Type="http://schemas.openxmlformats.org/officeDocument/2006/relationships/ctrlProp" Target="../ctrlProps/ctrlProp65.xml"/><Relationship Id="rId14" Type="http://schemas.openxmlformats.org/officeDocument/2006/relationships/ctrlProp" Target="../ctrlProps/ctrlProp70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6.xml"/><Relationship Id="rId13" Type="http://schemas.openxmlformats.org/officeDocument/2006/relationships/ctrlProp" Target="../ctrlProps/ctrlProp81.xml"/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75.xml"/><Relationship Id="rId12" Type="http://schemas.openxmlformats.org/officeDocument/2006/relationships/ctrlProp" Target="../ctrlProps/ctrlProp80.xml"/><Relationship Id="rId17" Type="http://schemas.openxmlformats.org/officeDocument/2006/relationships/comments" Target="../comments6.xml"/><Relationship Id="rId2" Type="http://schemas.openxmlformats.org/officeDocument/2006/relationships/drawing" Target="../drawings/drawing6.xml"/><Relationship Id="rId16" Type="http://schemas.openxmlformats.org/officeDocument/2006/relationships/ctrlProp" Target="../ctrlProps/ctrlProp84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74.xml"/><Relationship Id="rId11" Type="http://schemas.openxmlformats.org/officeDocument/2006/relationships/ctrlProp" Target="../ctrlProps/ctrlProp79.xml"/><Relationship Id="rId5" Type="http://schemas.openxmlformats.org/officeDocument/2006/relationships/ctrlProp" Target="../ctrlProps/ctrlProp73.xml"/><Relationship Id="rId15" Type="http://schemas.openxmlformats.org/officeDocument/2006/relationships/ctrlProp" Target="../ctrlProps/ctrlProp83.xml"/><Relationship Id="rId10" Type="http://schemas.openxmlformats.org/officeDocument/2006/relationships/ctrlProp" Target="../ctrlProps/ctrlProp78.xml"/><Relationship Id="rId4" Type="http://schemas.openxmlformats.org/officeDocument/2006/relationships/vmlDrawing" Target="../drawings/vmlDrawing12.vml"/><Relationship Id="rId9" Type="http://schemas.openxmlformats.org/officeDocument/2006/relationships/ctrlProp" Target="../ctrlProps/ctrlProp77.xml"/><Relationship Id="rId14" Type="http://schemas.openxmlformats.org/officeDocument/2006/relationships/ctrlProp" Target="../ctrlProps/ctrlProp82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8.xml"/><Relationship Id="rId13" Type="http://schemas.openxmlformats.org/officeDocument/2006/relationships/ctrlProp" Target="../ctrlProps/ctrlProp93.xml"/><Relationship Id="rId3" Type="http://schemas.openxmlformats.org/officeDocument/2006/relationships/vmlDrawing" Target="../drawings/vmlDrawing13.vml"/><Relationship Id="rId7" Type="http://schemas.openxmlformats.org/officeDocument/2006/relationships/ctrlProp" Target="../ctrlProps/ctrlProp87.xml"/><Relationship Id="rId12" Type="http://schemas.openxmlformats.org/officeDocument/2006/relationships/ctrlProp" Target="../ctrlProps/ctrlProp92.xml"/><Relationship Id="rId17" Type="http://schemas.openxmlformats.org/officeDocument/2006/relationships/comments" Target="../comments7.xml"/><Relationship Id="rId2" Type="http://schemas.openxmlformats.org/officeDocument/2006/relationships/drawing" Target="../drawings/drawing7.xml"/><Relationship Id="rId16" Type="http://schemas.openxmlformats.org/officeDocument/2006/relationships/ctrlProp" Target="../ctrlProps/ctrlProp96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86.xml"/><Relationship Id="rId11" Type="http://schemas.openxmlformats.org/officeDocument/2006/relationships/ctrlProp" Target="../ctrlProps/ctrlProp91.xml"/><Relationship Id="rId5" Type="http://schemas.openxmlformats.org/officeDocument/2006/relationships/ctrlProp" Target="../ctrlProps/ctrlProp85.xml"/><Relationship Id="rId15" Type="http://schemas.openxmlformats.org/officeDocument/2006/relationships/ctrlProp" Target="../ctrlProps/ctrlProp95.xml"/><Relationship Id="rId10" Type="http://schemas.openxmlformats.org/officeDocument/2006/relationships/ctrlProp" Target="../ctrlProps/ctrlProp90.xml"/><Relationship Id="rId4" Type="http://schemas.openxmlformats.org/officeDocument/2006/relationships/vmlDrawing" Target="../drawings/vmlDrawing14.vml"/><Relationship Id="rId9" Type="http://schemas.openxmlformats.org/officeDocument/2006/relationships/ctrlProp" Target="../ctrlProps/ctrlProp89.xml"/><Relationship Id="rId14" Type="http://schemas.openxmlformats.org/officeDocument/2006/relationships/ctrlProp" Target="../ctrlProps/ctrlProp94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0.xml"/><Relationship Id="rId13" Type="http://schemas.openxmlformats.org/officeDocument/2006/relationships/ctrlProp" Target="../ctrlProps/ctrlProp105.xml"/><Relationship Id="rId3" Type="http://schemas.openxmlformats.org/officeDocument/2006/relationships/vmlDrawing" Target="../drawings/vmlDrawing15.vml"/><Relationship Id="rId7" Type="http://schemas.openxmlformats.org/officeDocument/2006/relationships/ctrlProp" Target="../ctrlProps/ctrlProp99.xml"/><Relationship Id="rId12" Type="http://schemas.openxmlformats.org/officeDocument/2006/relationships/ctrlProp" Target="../ctrlProps/ctrlProp104.xml"/><Relationship Id="rId17" Type="http://schemas.openxmlformats.org/officeDocument/2006/relationships/comments" Target="../comments8.xml"/><Relationship Id="rId2" Type="http://schemas.openxmlformats.org/officeDocument/2006/relationships/drawing" Target="../drawings/drawing8.xml"/><Relationship Id="rId16" Type="http://schemas.openxmlformats.org/officeDocument/2006/relationships/ctrlProp" Target="../ctrlProps/ctrlProp108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98.xml"/><Relationship Id="rId11" Type="http://schemas.openxmlformats.org/officeDocument/2006/relationships/ctrlProp" Target="../ctrlProps/ctrlProp103.xml"/><Relationship Id="rId5" Type="http://schemas.openxmlformats.org/officeDocument/2006/relationships/ctrlProp" Target="../ctrlProps/ctrlProp97.xml"/><Relationship Id="rId15" Type="http://schemas.openxmlformats.org/officeDocument/2006/relationships/ctrlProp" Target="../ctrlProps/ctrlProp107.xml"/><Relationship Id="rId10" Type="http://schemas.openxmlformats.org/officeDocument/2006/relationships/ctrlProp" Target="../ctrlProps/ctrlProp102.xml"/><Relationship Id="rId4" Type="http://schemas.openxmlformats.org/officeDocument/2006/relationships/vmlDrawing" Target="../drawings/vmlDrawing16.vml"/><Relationship Id="rId9" Type="http://schemas.openxmlformats.org/officeDocument/2006/relationships/ctrlProp" Target="../ctrlProps/ctrlProp101.xml"/><Relationship Id="rId14" Type="http://schemas.openxmlformats.org/officeDocument/2006/relationships/ctrlProp" Target="../ctrlProps/ctrlProp106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12.xml"/><Relationship Id="rId13" Type="http://schemas.openxmlformats.org/officeDocument/2006/relationships/ctrlProp" Target="../ctrlProps/ctrlProp117.xml"/><Relationship Id="rId3" Type="http://schemas.openxmlformats.org/officeDocument/2006/relationships/vmlDrawing" Target="../drawings/vmlDrawing17.vml"/><Relationship Id="rId7" Type="http://schemas.openxmlformats.org/officeDocument/2006/relationships/ctrlProp" Target="../ctrlProps/ctrlProp111.xml"/><Relationship Id="rId12" Type="http://schemas.openxmlformats.org/officeDocument/2006/relationships/ctrlProp" Target="../ctrlProps/ctrlProp116.xml"/><Relationship Id="rId17" Type="http://schemas.openxmlformats.org/officeDocument/2006/relationships/comments" Target="../comments9.xml"/><Relationship Id="rId2" Type="http://schemas.openxmlformats.org/officeDocument/2006/relationships/drawing" Target="../drawings/drawing9.xml"/><Relationship Id="rId16" Type="http://schemas.openxmlformats.org/officeDocument/2006/relationships/ctrlProp" Target="../ctrlProps/ctrlProp120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110.xml"/><Relationship Id="rId11" Type="http://schemas.openxmlformats.org/officeDocument/2006/relationships/ctrlProp" Target="../ctrlProps/ctrlProp115.xml"/><Relationship Id="rId5" Type="http://schemas.openxmlformats.org/officeDocument/2006/relationships/ctrlProp" Target="../ctrlProps/ctrlProp109.xml"/><Relationship Id="rId15" Type="http://schemas.openxmlformats.org/officeDocument/2006/relationships/ctrlProp" Target="../ctrlProps/ctrlProp119.xml"/><Relationship Id="rId10" Type="http://schemas.openxmlformats.org/officeDocument/2006/relationships/ctrlProp" Target="../ctrlProps/ctrlProp114.xml"/><Relationship Id="rId4" Type="http://schemas.openxmlformats.org/officeDocument/2006/relationships/vmlDrawing" Target="../drawings/vmlDrawing18.vml"/><Relationship Id="rId9" Type="http://schemas.openxmlformats.org/officeDocument/2006/relationships/ctrlProp" Target="../ctrlProps/ctrlProp113.xml"/><Relationship Id="rId14" Type="http://schemas.openxmlformats.org/officeDocument/2006/relationships/ctrlProp" Target="../ctrlProps/ctrlProp11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4.xml"/><Relationship Id="rId13" Type="http://schemas.openxmlformats.org/officeDocument/2006/relationships/ctrlProp" Target="../ctrlProps/ctrlProp129.xml"/><Relationship Id="rId3" Type="http://schemas.openxmlformats.org/officeDocument/2006/relationships/vmlDrawing" Target="../drawings/vmlDrawing19.vml"/><Relationship Id="rId7" Type="http://schemas.openxmlformats.org/officeDocument/2006/relationships/ctrlProp" Target="../ctrlProps/ctrlProp123.xml"/><Relationship Id="rId12" Type="http://schemas.openxmlformats.org/officeDocument/2006/relationships/ctrlProp" Target="../ctrlProps/ctrlProp128.xml"/><Relationship Id="rId17" Type="http://schemas.openxmlformats.org/officeDocument/2006/relationships/comments" Target="../comments10.xml"/><Relationship Id="rId2" Type="http://schemas.openxmlformats.org/officeDocument/2006/relationships/drawing" Target="../drawings/drawing10.xml"/><Relationship Id="rId16" Type="http://schemas.openxmlformats.org/officeDocument/2006/relationships/ctrlProp" Target="../ctrlProps/ctrlProp132.xml"/><Relationship Id="rId1" Type="http://schemas.openxmlformats.org/officeDocument/2006/relationships/printerSettings" Target="../printerSettings/printerSettings10.bin"/><Relationship Id="rId6" Type="http://schemas.openxmlformats.org/officeDocument/2006/relationships/ctrlProp" Target="../ctrlProps/ctrlProp122.xml"/><Relationship Id="rId11" Type="http://schemas.openxmlformats.org/officeDocument/2006/relationships/ctrlProp" Target="../ctrlProps/ctrlProp127.xml"/><Relationship Id="rId5" Type="http://schemas.openxmlformats.org/officeDocument/2006/relationships/ctrlProp" Target="../ctrlProps/ctrlProp121.xml"/><Relationship Id="rId15" Type="http://schemas.openxmlformats.org/officeDocument/2006/relationships/ctrlProp" Target="../ctrlProps/ctrlProp131.xml"/><Relationship Id="rId10" Type="http://schemas.openxmlformats.org/officeDocument/2006/relationships/ctrlProp" Target="../ctrlProps/ctrlProp126.xml"/><Relationship Id="rId4" Type="http://schemas.openxmlformats.org/officeDocument/2006/relationships/vmlDrawing" Target="../drawings/vmlDrawing20.vml"/><Relationship Id="rId9" Type="http://schemas.openxmlformats.org/officeDocument/2006/relationships/ctrlProp" Target="../ctrlProps/ctrlProp125.xml"/><Relationship Id="rId14" Type="http://schemas.openxmlformats.org/officeDocument/2006/relationships/ctrlProp" Target="../ctrlProps/ctrlProp130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6.xml"/><Relationship Id="rId13" Type="http://schemas.openxmlformats.org/officeDocument/2006/relationships/ctrlProp" Target="../ctrlProps/ctrlProp141.xml"/><Relationship Id="rId3" Type="http://schemas.openxmlformats.org/officeDocument/2006/relationships/vmlDrawing" Target="../drawings/vmlDrawing21.vml"/><Relationship Id="rId7" Type="http://schemas.openxmlformats.org/officeDocument/2006/relationships/ctrlProp" Target="../ctrlProps/ctrlProp135.xml"/><Relationship Id="rId12" Type="http://schemas.openxmlformats.org/officeDocument/2006/relationships/ctrlProp" Target="../ctrlProps/ctrlProp140.xml"/><Relationship Id="rId17" Type="http://schemas.openxmlformats.org/officeDocument/2006/relationships/comments" Target="../comments11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144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134.xml"/><Relationship Id="rId11" Type="http://schemas.openxmlformats.org/officeDocument/2006/relationships/ctrlProp" Target="../ctrlProps/ctrlProp139.xml"/><Relationship Id="rId5" Type="http://schemas.openxmlformats.org/officeDocument/2006/relationships/ctrlProp" Target="../ctrlProps/ctrlProp133.xml"/><Relationship Id="rId15" Type="http://schemas.openxmlformats.org/officeDocument/2006/relationships/ctrlProp" Target="../ctrlProps/ctrlProp143.xml"/><Relationship Id="rId10" Type="http://schemas.openxmlformats.org/officeDocument/2006/relationships/ctrlProp" Target="../ctrlProps/ctrlProp138.xml"/><Relationship Id="rId4" Type="http://schemas.openxmlformats.org/officeDocument/2006/relationships/vmlDrawing" Target="../drawings/vmlDrawing22.vml"/><Relationship Id="rId9" Type="http://schemas.openxmlformats.org/officeDocument/2006/relationships/ctrlProp" Target="../ctrlProps/ctrlProp137.xml"/><Relationship Id="rId14" Type="http://schemas.openxmlformats.org/officeDocument/2006/relationships/ctrlProp" Target="../ctrlProps/ctrlProp142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8.xml"/><Relationship Id="rId13" Type="http://schemas.openxmlformats.org/officeDocument/2006/relationships/ctrlProp" Target="../ctrlProps/ctrlProp153.xml"/><Relationship Id="rId3" Type="http://schemas.openxmlformats.org/officeDocument/2006/relationships/vmlDrawing" Target="../drawings/vmlDrawing23.vml"/><Relationship Id="rId7" Type="http://schemas.openxmlformats.org/officeDocument/2006/relationships/ctrlProp" Target="../ctrlProps/ctrlProp147.xml"/><Relationship Id="rId12" Type="http://schemas.openxmlformats.org/officeDocument/2006/relationships/ctrlProp" Target="../ctrlProps/ctrlProp152.xml"/><Relationship Id="rId17" Type="http://schemas.openxmlformats.org/officeDocument/2006/relationships/comments" Target="../comments12.xml"/><Relationship Id="rId2" Type="http://schemas.openxmlformats.org/officeDocument/2006/relationships/drawing" Target="../drawings/drawing12.xml"/><Relationship Id="rId16" Type="http://schemas.openxmlformats.org/officeDocument/2006/relationships/ctrlProp" Target="../ctrlProps/ctrlProp156.xml"/><Relationship Id="rId1" Type="http://schemas.openxmlformats.org/officeDocument/2006/relationships/printerSettings" Target="../printerSettings/printerSettings12.bin"/><Relationship Id="rId6" Type="http://schemas.openxmlformats.org/officeDocument/2006/relationships/ctrlProp" Target="../ctrlProps/ctrlProp146.xml"/><Relationship Id="rId11" Type="http://schemas.openxmlformats.org/officeDocument/2006/relationships/ctrlProp" Target="../ctrlProps/ctrlProp151.xml"/><Relationship Id="rId5" Type="http://schemas.openxmlformats.org/officeDocument/2006/relationships/ctrlProp" Target="../ctrlProps/ctrlProp145.xml"/><Relationship Id="rId15" Type="http://schemas.openxmlformats.org/officeDocument/2006/relationships/ctrlProp" Target="../ctrlProps/ctrlProp155.xml"/><Relationship Id="rId10" Type="http://schemas.openxmlformats.org/officeDocument/2006/relationships/ctrlProp" Target="../ctrlProps/ctrlProp150.xml"/><Relationship Id="rId4" Type="http://schemas.openxmlformats.org/officeDocument/2006/relationships/vmlDrawing" Target="../drawings/vmlDrawing24.vml"/><Relationship Id="rId9" Type="http://schemas.openxmlformats.org/officeDocument/2006/relationships/ctrlProp" Target="../ctrlProps/ctrlProp149.xml"/><Relationship Id="rId14" Type="http://schemas.openxmlformats.org/officeDocument/2006/relationships/ctrlProp" Target="../ctrlProps/ctrlProp154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0.xml"/><Relationship Id="rId13" Type="http://schemas.openxmlformats.org/officeDocument/2006/relationships/ctrlProp" Target="../ctrlProps/ctrlProp165.xml"/><Relationship Id="rId3" Type="http://schemas.openxmlformats.org/officeDocument/2006/relationships/vmlDrawing" Target="../drawings/vmlDrawing25.vml"/><Relationship Id="rId7" Type="http://schemas.openxmlformats.org/officeDocument/2006/relationships/ctrlProp" Target="../ctrlProps/ctrlProp159.xml"/><Relationship Id="rId12" Type="http://schemas.openxmlformats.org/officeDocument/2006/relationships/ctrlProp" Target="../ctrlProps/ctrlProp164.xml"/><Relationship Id="rId17" Type="http://schemas.openxmlformats.org/officeDocument/2006/relationships/comments" Target="../comments13.xml"/><Relationship Id="rId2" Type="http://schemas.openxmlformats.org/officeDocument/2006/relationships/drawing" Target="../drawings/drawing13.xml"/><Relationship Id="rId16" Type="http://schemas.openxmlformats.org/officeDocument/2006/relationships/ctrlProp" Target="../ctrlProps/ctrlProp168.xml"/><Relationship Id="rId1" Type="http://schemas.openxmlformats.org/officeDocument/2006/relationships/printerSettings" Target="../printerSettings/printerSettings13.bin"/><Relationship Id="rId6" Type="http://schemas.openxmlformats.org/officeDocument/2006/relationships/ctrlProp" Target="../ctrlProps/ctrlProp158.xml"/><Relationship Id="rId11" Type="http://schemas.openxmlformats.org/officeDocument/2006/relationships/ctrlProp" Target="../ctrlProps/ctrlProp163.xml"/><Relationship Id="rId5" Type="http://schemas.openxmlformats.org/officeDocument/2006/relationships/ctrlProp" Target="../ctrlProps/ctrlProp157.xml"/><Relationship Id="rId15" Type="http://schemas.openxmlformats.org/officeDocument/2006/relationships/ctrlProp" Target="../ctrlProps/ctrlProp167.xml"/><Relationship Id="rId10" Type="http://schemas.openxmlformats.org/officeDocument/2006/relationships/ctrlProp" Target="../ctrlProps/ctrlProp162.xml"/><Relationship Id="rId4" Type="http://schemas.openxmlformats.org/officeDocument/2006/relationships/vmlDrawing" Target="../drawings/vmlDrawing26.vml"/><Relationship Id="rId9" Type="http://schemas.openxmlformats.org/officeDocument/2006/relationships/ctrlProp" Target="../ctrlProps/ctrlProp161.xml"/><Relationship Id="rId14" Type="http://schemas.openxmlformats.org/officeDocument/2006/relationships/ctrlProp" Target="../ctrlProps/ctrlProp16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74"/>
  <sheetViews>
    <sheetView tabSelected="1" zoomScaleNormal="100" zoomScalePageLayoutView="70" workbookViewId="0">
      <selection activeCell="B2" sqref="B2:C2"/>
    </sheetView>
  </sheetViews>
  <sheetFormatPr defaultRowHeight="15" x14ac:dyDescent="0.25"/>
  <cols>
    <col min="1" max="1" width="29.85546875" customWidth="1"/>
    <col min="2" max="4" width="8.7109375" customWidth="1"/>
    <col min="5" max="5" width="10.5703125" bestFit="1" customWidth="1"/>
    <col min="6" max="13" width="9.28515625" customWidth="1"/>
    <col min="14" max="14" width="11.42578125" customWidth="1"/>
    <col min="18" max="18" width="11.28515625" customWidth="1"/>
    <col min="19" max="19" width="12.285156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44"/>
      <c r="F2" s="37"/>
      <c r="G2" s="37"/>
      <c r="H2" s="37"/>
      <c r="I2" s="37"/>
      <c r="J2" s="37"/>
      <c r="K2" s="37"/>
      <c r="L2" s="37"/>
      <c r="M2" s="37"/>
      <c r="N2" s="4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/>
      <c r="C3" s="203"/>
      <c r="D3" s="58" t="s">
        <v>36</v>
      </c>
      <c r="E3" s="181"/>
      <c r="F3" s="178" t="s">
        <v>84</v>
      </c>
      <c r="G3" s="179">
        <v>0.95</v>
      </c>
      <c r="H3" s="38"/>
      <c r="I3" s="38"/>
      <c r="J3" s="38"/>
      <c r="K3" s="38"/>
      <c r="L3" s="38"/>
      <c r="M3" s="38"/>
      <c r="N3" s="45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181"/>
      <c r="F4" s="180"/>
      <c r="G4" s="38"/>
      <c r="H4" s="38"/>
      <c r="I4" s="38"/>
      <c r="J4" s="38"/>
      <c r="K4" s="38"/>
      <c r="L4" s="38"/>
      <c r="M4" s="38"/>
      <c r="N4" s="45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11" t="s">
        <v>85</v>
      </c>
      <c r="G5" s="212"/>
      <c r="H5" s="212"/>
      <c r="I5" s="212"/>
      <c r="J5" s="212"/>
      <c r="K5" s="212"/>
      <c r="L5" s="212"/>
      <c r="M5" s="212"/>
      <c r="N5" s="213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14"/>
      <c r="G6" s="215"/>
      <c r="H6" s="215"/>
      <c r="I6" s="215"/>
      <c r="J6" s="215"/>
      <c r="K6" s="215"/>
      <c r="L6" s="215"/>
      <c r="M6" s="215"/>
      <c r="N6" s="216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14"/>
      <c r="G7" s="215"/>
      <c r="H7" s="215"/>
      <c r="I7" s="215"/>
      <c r="J7" s="215"/>
      <c r="K7" s="215"/>
      <c r="L7" s="215"/>
      <c r="M7" s="215"/>
      <c r="N7" s="216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14"/>
      <c r="G8" s="215"/>
      <c r="H8" s="215"/>
      <c r="I8" s="215"/>
      <c r="J8" s="215"/>
      <c r="K8" s="215"/>
      <c r="L8" s="215"/>
      <c r="M8" s="215"/>
      <c r="N8" s="216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72" t="s">
        <v>63</v>
      </c>
      <c r="B9" s="38" t="s">
        <v>121</v>
      </c>
      <c r="C9" s="38"/>
      <c r="D9" s="38"/>
      <c r="E9" s="38"/>
      <c r="F9" s="214"/>
      <c r="G9" s="215"/>
      <c r="H9" s="215"/>
      <c r="I9" s="215"/>
      <c r="J9" s="215"/>
      <c r="K9" s="215"/>
      <c r="L9" s="215"/>
      <c r="M9" s="215"/>
      <c r="N9" s="216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17"/>
      <c r="G10" s="218"/>
      <c r="H10" s="218"/>
      <c r="I10" s="218"/>
      <c r="J10" s="218"/>
      <c r="K10" s="218"/>
      <c r="L10" s="218"/>
      <c r="M10" s="218"/>
      <c r="N10" s="219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v>10</v>
      </c>
      <c r="G13" s="104">
        <v>25</v>
      </c>
      <c r="H13" s="104">
        <v>50</v>
      </c>
      <c r="I13" s="104">
        <v>75</v>
      </c>
      <c r="J13" s="104">
        <v>100</v>
      </c>
      <c r="K13" s="104">
        <v>250</v>
      </c>
      <c r="L13" s="104">
        <v>500</v>
      </c>
      <c r="M13" s="104"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ref="H16:M17" si="1">(($B16/H$13*$E16)+($C16*$E16))</f>
        <v>0</v>
      </c>
      <c r="I16" s="14">
        <f t="shared" si="1"/>
        <v>0</v>
      </c>
      <c r="J16" s="14">
        <f t="shared" si="1"/>
        <v>0</v>
      </c>
      <c r="K16" s="14">
        <f t="shared" si="1"/>
        <v>0</v>
      </c>
      <c r="L16" s="14">
        <f t="shared" si="1"/>
        <v>0</v>
      </c>
      <c r="M16" s="14">
        <f t="shared" si="1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1"/>
        <v>0</v>
      </c>
      <c r="I17" s="14">
        <f t="shared" si="1"/>
        <v>0</v>
      </c>
      <c r="J17" s="14">
        <f t="shared" si="1"/>
        <v>0</v>
      </c>
      <c r="K17" s="14">
        <f t="shared" si="1"/>
        <v>0</v>
      </c>
      <c r="L17" s="14">
        <f t="shared" si="1"/>
        <v>0</v>
      </c>
      <c r="M17" s="14">
        <f t="shared" si="1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9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9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81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79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65" t="s">
        <v>92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65" t="s">
        <v>93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2">SUM(F16:F25)</f>
        <v>0</v>
      </c>
      <c r="G26" s="17">
        <f t="shared" si="2"/>
        <v>0</v>
      </c>
      <c r="H26" s="17">
        <f t="shared" si="2"/>
        <v>0</v>
      </c>
      <c r="I26" s="17">
        <f t="shared" si="2"/>
        <v>0</v>
      </c>
      <c r="J26" s="17">
        <f t="shared" ref="J26:K26" si="3">SUM(J16:J25)</f>
        <v>0</v>
      </c>
      <c r="K26" s="17">
        <f t="shared" si="3"/>
        <v>0</v>
      </c>
      <c r="L26" s="17">
        <f t="shared" si="2"/>
        <v>0</v>
      </c>
      <c r="M26" s="17">
        <f t="shared" si="2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4">(($B$28/F13)+$C$28)/60</f>
        <v>0</v>
      </c>
      <c r="G27" s="20">
        <f t="shared" si="4"/>
        <v>0</v>
      </c>
      <c r="H27" s="20">
        <f t="shared" si="4"/>
        <v>0</v>
      </c>
      <c r="I27" s="20">
        <f t="shared" si="4"/>
        <v>0</v>
      </c>
      <c r="J27" s="20">
        <f t="shared" ref="J27:K27" si="5">(($B$28/J13)+$C$28)/60</f>
        <v>0</v>
      </c>
      <c r="K27" s="20">
        <f t="shared" si="5"/>
        <v>0</v>
      </c>
      <c r="L27" s="20">
        <f t="shared" si="4"/>
        <v>0</v>
      </c>
      <c r="M27" s="20">
        <f t="shared" si="4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6">G26*$D$28</f>
        <v>0</v>
      </c>
      <c r="H28" s="20">
        <f t="shared" si="6"/>
        <v>0</v>
      </c>
      <c r="I28" s="20">
        <f t="shared" si="6"/>
        <v>0</v>
      </c>
      <c r="J28" s="20">
        <f t="shared" ref="J28:K28" si="7">J26*$D$28</f>
        <v>0</v>
      </c>
      <c r="K28" s="20">
        <f t="shared" si="7"/>
        <v>0</v>
      </c>
      <c r="L28" s="20">
        <f t="shared" si="6"/>
        <v>0</v>
      </c>
      <c r="M28" s="20">
        <f t="shared" si="6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>F26+F28</f>
        <v>0</v>
      </c>
      <c r="G30" s="22">
        <f t="shared" ref="G30:M30" si="8">G26+G28</f>
        <v>0</v>
      </c>
      <c r="H30" s="22">
        <f t="shared" si="8"/>
        <v>0</v>
      </c>
      <c r="I30" s="22">
        <f t="shared" si="8"/>
        <v>0</v>
      </c>
      <c r="J30" s="22">
        <f t="shared" ref="J30:K30" si="9">J26+J28</f>
        <v>0</v>
      </c>
      <c r="K30" s="22">
        <f t="shared" si="9"/>
        <v>0</v>
      </c>
      <c r="L30" s="22">
        <f t="shared" si="8"/>
        <v>0</v>
      </c>
      <c r="M30" s="22">
        <f t="shared" si="8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68</v>
      </c>
      <c r="B32" s="91" t="s">
        <v>64</v>
      </c>
      <c r="C32" s="91" t="s">
        <v>65</v>
      </c>
      <c r="D32" s="91" t="s">
        <v>66</v>
      </c>
      <c r="E32" s="92" t="s">
        <v>67</v>
      </c>
      <c r="F32" s="93" t="str">
        <f t="shared" ref="F32:M32" si="10">"Qty: "&amp; F13</f>
        <v>Qty: 10</v>
      </c>
      <c r="G32" s="93" t="str">
        <f t="shared" si="10"/>
        <v>Qty: 25</v>
      </c>
      <c r="H32" s="93" t="str">
        <f t="shared" si="10"/>
        <v>Qty: 50</v>
      </c>
      <c r="I32" s="93" t="str">
        <f t="shared" si="10"/>
        <v>Qty: 75</v>
      </c>
      <c r="J32" s="93" t="str">
        <f t="shared" ref="J32:K32" si="11">"Qty: "&amp; J13</f>
        <v>Qty: 100</v>
      </c>
      <c r="K32" s="93" t="str">
        <f t="shared" si="11"/>
        <v>Qty: 250</v>
      </c>
      <c r="L32" s="93" t="str">
        <f t="shared" si="10"/>
        <v>Qty: 500</v>
      </c>
      <c r="M32" s="94" t="str">
        <f t="shared" si="10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12">C33*D33</f>
        <v>0</v>
      </c>
      <c r="F33" s="35">
        <f t="shared" ref="F33:K33" si="13">IF($N33=TRUE,$E33/F$13,$E33*(1+(1/F$13)))</f>
        <v>0</v>
      </c>
      <c r="G33" s="35">
        <f t="shared" si="13"/>
        <v>0</v>
      </c>
      <c r="H33" s="35">
        <f t="shared" si="13"/>
        <v>0</v>
      </c>
      <c r="I33" s="35">
        <f t="shared" si="13"/>
        <v>0</v>
      </c>
      <c r="J33" s="35">
        <f t="shared" si="13"/>
        <v>0</v>
      </c>
      <c r="K33" s="35">
        <f t="shared" si="13"/>
        <v>0</v>
      </c>
      <c r="L33" s="35">
        <f>IF($N33=TRUE,E33/L$13,$E33*(1+(1/L$13)))</f>
        <v>0</v>
      </c>
      <c r="M33" s="35">
        <f>IF($N33=TRUE,E33/M$13,$E33*(1+(1/M$13)))</f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12"/>
        <v>0</v>
      </c>
      <c r="F34" s="35">
        <f t="shared" ref="F34:K44" si="14">IF($N34=TRUE,$E34/F$13,$E34*(1+(1/F$13)))</f>
        <v>0</v>
      </c>
      <c r="G34" s="35">
        <f t="shared" si="14"/>
        <v>0</v>
      </c>
      <c r="H34" s="35">
        <f t="shared" si="14"/>
        <v>0</v>
      </c>
      <c r="I34" s="35">
        <f t="shared" si="14"/>
        <v>0</v>
      </c>
      <c r="J34" s="35">
        <f t="shared" si="14"/>
        <v>0</v>
      </c>
      <c r="K34" s="35">
        <f t="shared" si="14"/>
        <v>0</v>
      </c>
      <c r="L34" s="35">
        <f t="shared" ref="L34:L44" si="15">IF($N34=TRUE,E34/L$13,$E34*(1+(1/L$13)))</f>
        <v>0</v>
      </c>
      <c r="M34" s="35">
        <f t="shared" ref="M34:M44" si="16">IF($N34=TRUE,E34/M$13,$E34*(1+(1/M$13)))</f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12"/>
        <v>0</v>
      </c>
      <c r="F35" s="35">
        <f t="shared" si="14"/>
        <v>0</v>
      </c>
      <c r="G35" s="35">
        <f t="shared" si="14"/>
        <v>0</v>
      </c>
      <c r="H35" s="35">
        <f t="shared" si="14"/>
        <v>0</v>
      </c>
      <c r="I35" s="35">
        <f t="shared" si="14"/>
        <v>0</v>
      </c>
      <c r="J35" s="35">
        <f t="shared" si="14"/>
        <v>0</v>
      </c>
      <c r="K35" s="35">
        <f t="shared" si="14"/>
        <v>0</v>
      </c>
      <c r="L35" s="35">
        <f t="shared" si="15"/>
        <v>0</v>
      </c>
      <c r="M35" s="35">
        <f t="shared" si="16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12"/>
        <v>0</v>
      </c>
      <c r="F36" s="35">
        <f t="shared" si="14"/>
        <v>0</v>
      </c>
      <c r="G36" s="35">
        <f t="shared" si="14"/>
        <v>0</v>
      </c>
      <c r="H36" s="35">
        <f t="shared" si="14"/>
        <v>0</v>
      </c>
      <c r="I36" s="35">
        <f t="shared" si="14"/>
        <v>0</v>
      </c>
      <c r="J36" s="35">
        <f t="shared" si="14"/>
        <v>0</v>
      </c>
      <c r="K36" s="35">
        <f t="shared" si="14"/>
        <v>0</v>
      </c>
      <c r="L36" s="35">
        <f t="shared" si="15"/>
        <v>0</v>
      </c>
      <c r="M36" s="35">
        <f t="shared" si="16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M80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12"/>
        <v>0</v>
      </c>
      <c r="F37" s="35">
        <f t="shared" si="14"/>
        <v>0</v>
      </c>
      <c r="G37" s="35">
        <f t="shared" si="14"/>
        <v>0</v>
      </c>
      <c r="H37" s="35">
        <f t="shared" si="14"/>
        <v>0</v>
      </c>
      <c r="I37" s="35">
        <f t="shared" si="14"/>
        <v>0</v>
      </c>
      <c r="J37" s="35">
        <f t="shared" si="14"/>
        <v>0</v>
      </c>
      <c r="K37" s="35">
        <f t="shared" si="14"/>
        <v>0</v>
      </c>
      <c r="L37" s="35">
        <f t="shared" si="15"/>
        <v>0</v>
      </c>
      <c r="M37" s="35">
        <f t="shared" si="16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L80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12"/>
        <v>0</v>
      </c>
      <c r="F38" s="35">
        <f t="shared" si="14"/>
        <v>0</v>
      </c>
      <c r="G38" s="35">
        <f t="shared" si="14"/>
        <v>0</v>
      </c>
      <c r="H38" s="35">
        <f t="shared" si="14"/>
        <v>0</v>
      </c>
      <c r="I38" s="35">
        <f t="shared" si="14"/>
        <v>0</v>
      </c>
      <c r="J38" s="35">
        <f t="shared" si="14"/>
        <v>0</v>
      </c>
      <c r="K38" s="35">
        <f t="shared" si="14"/>
        <v>0</v>
      </c>
      <c r="L38" s="35">
        <f t="shared" si="15"/>
        <v>0</v>
      </c>
      <c r="M38" s="35">
        <f t="shared" si="16"/>
        <v>0</v>
      </c>
      <c r="N38" s="160" t="b">
        <v>0</v>
      </c>
      <c r="O38" s="34"/>
      <c r="P38" s="34"/>
      <c r="Q38" s="34"/>
      <c r="R38" s="34"/>
      <c r="S38" s="34">
        <f>I13</f>
        <v>75</v>
      </c>
      <c r="T38" s="124">
        <f>I80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12"/>
        <v>0</v>
      </c>
      <c r="F39" s="35">
        <f t="shared" si="14"/>
        <v>0</v>
      </c>
      <c r="G39" s="35">
        <f t="shared" si="14"/>
        <v>0</v>
      </c>
      <c r="H39" s="35">
        <f t="shared" si="14"/>
        <v>0</v>
      </c>
      <c r="I39" s="35">
        <f t="shared" si="14"/>
        <v>0</v>
      </c>
      <c r="J39" s="35">
        <f t="shared" si="14"/>
        <v>0</v>
      </c>
      <c r="K39" s="35">
        <f t="shared" si="14"/>
        <v>0</v>
      </c>
      <c r="L39" s="35">
        <f t="shared" si="15"/>
        <v>0</v>
      </c>
      <c r="M39" s="35">
        <f t="shared" si="16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H80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12"/>
        <v>0</v>
      </c>
      <c r="F40" s="35">
        <f t="shared" si="14"/>
        <v>0</v>
      </c>
      <c r="G40" s="35">
        <f t="shared" si="14"/>
        <v>0</v>
      </c>
      <c r="H40" s="35">
        <f t="shared" si="14"/>
        <v>0</v>
      </c>
      <c r="I40" s="35">
        <f t="shared" si="14"/>
        <v>0</v>
      </c>
      <c r="J40" s="35">
        <f t="shared" si="14"/>
        <v>0</v>
      </c>
      <c r="K40" s="35">
        <f t="shared" si="14"/>
        <v>0</v>
      </c>
      <c r="L40" s="35">
        <f t="shared" si="15"/>
        <v>0</v>
      </c>
      <c r="M40" s="35">
        <f t="shared" si="16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G80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12"/>
        <v>0</v>
      </c>
      <c r="F41" s="35">
        <f t="shared" si="14"/>
        <v>0</v>
      </c>
      <c r="G41" s="35">
        <f t="shared" si="14"/>
        <v>0</v>
      </c>
      <c r="H41" s="35">
        <f t="shared" si="14"/>
        <v>0</v>
      </c>
      <c r="I41" s="35">
        <f t="shared" si="14"/>
        <v>0</v>
      </c>
      <c r="J41" s="35">
        <f t="shared" si="14"/>
        <v>0</v>
      </c>
      <c r="K41" s="35">
        <f t="shared" si="14"/>
        <v>0</v>
      </c>
      <c r="L41" s="35">
        <f t="shared" si="15"/>
        <v>0</v>
      </c>
      <c r="M41" s="35">
        <f t="shared" si="16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F80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12"/>
        <v>0</v>
      </c>
      <c r="F42" s="35">
        <f t="shared" si="14"/>
        <v>0</v>
      </c>
      <c r="G42" s="35">
        <f t="shared" si="14"/>
        <v>0</v>
      </c>
      <c r="H42" s="35">
        <f t="shared" si="14"/>
        <v>0</v>
      </c>
      <c r="I42" s="35">
        <f t="shared" si="14"/>
        <v>0</v>
      </c>
      <c r="J42" s="35">
        <f t="shared" si="14"/>
        <v>0</v>
      </c>
      <c r="K42" s="35">
        <f t="shared" si="14"/>
        <v>0</v>
      </c>
      <c r="L42" s="35">
        <f t="shared" si="15"/>
        <v>0</v>
      </c>
      <c r="M42" s="35">
        <f t="shared" si="16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12"/>
        <v>0</v>
      </c>
      <c r="F43" s="35">
        <f t="shared" si="14"/>
        <v>0</v>
      </c>
      <c r="G43" s="35">
        <f t="shared" si="14"/>
        <v>0</v>
      </c>
      <c r="H43" s="35">
        <f t="shared" si="14"/>
        <v>0</v>
      </c>
      <c r="I43" s="35">
        <f t="shared" si="14"/>
        <v>0</v>
      </c>
      <c r="J43" s="35">
        <f t="shared" si="14"/>
        <v>0</v>
      </c>
      <c r="K43" s="35">
        <f t="shared" si="14"/>
        <v>0</v>
      </c>
      <c r="L43" s="35">
        <f t="shared" si="15"/>
        <v>0</v>
      </c>
      <c r="M43" s="35">
        <f t="shared" si="16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12"/>
        <v>0</v>
      </c>
      <c r="F44" s="35">
        <f t="shared" si="14"/>
        <v>0</v>
      </c>
      <c r="G44" s="35">
        <f t="shared" si="14"/>
        <v>0</v>
      </c>
      <c r="H44" s="35">
        <f t="shared" si="14"/>
        <v>0</v>
      </c>
      <c r="I44" s="35">
        <f t="shared" si="14"/>
        <v>0</v>
      </c>
      <c r="J44" s="35">
        <f t="shared" si="14"/>
        <v>0</v>
      </c>
      <c r="K44" s="35">
        <f t="shared" si="14"/>
        <v>0</v>
      </c>
      <c r="L44" s="35">
        <f t="shared" si="15"/>
        <v>0</v>
      </c>
      <c r="M44" s="35">
        <f t="shared" si="16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69</v>
      </c>
      <c r="B45" s="96" t="s">
        <v>40</v>
      </c>
      <c r="C45" s="97" t="s">
        <v>54</v>
      </c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165"/>
      <c r="B46" s="157"/>
      <c r="C46" s="139" t="b">
        <v>0</v>
      </c>
      <c r="D46" s="134"/>
      <c r="E46" s="133"/>
      <c r="F46" s="35">
        <f>IF($C46=TRUE,VLOOKUP($A46,Subassembly,2,FALSE)*IF($B46=0,1,$B46),($D46/F$13)+$E46)</f>
        <v>0</v>
      </c>
      <c r="G46" s="35">
        <f t="shared" ref="G46:G57" si="17">IF($C46=TRUE,VLOOKUP($A46,Subassembly,3,FALSE)*IF($B46=0,1,$B46),($D46/G$13)+$E46)</f>
        <v>0</v>
      </c>
      <c r="H46" s="35">
        <f t="shared" ref="H46:H57" si="18">IF($C46=TRUE,VLOOKUP($A46,Subassembly,4,FALSE)*IF($B46=0,1,$B46),($D46/H$13)+$E46)</f>
        <v>0</v>
      </c>
      <c r="I46" s="35">
        <f t="shared" ref="I46:I57" si="19">IF($C46=TRUE,VLOOKUP($A46,Subassembly,5,FALSE)*IF($B46=0,1,$B46),($D46/I$13)+$E46)</f>
        <v>0</v>
      </c>
      <c r="J46" s="35">
        <f t="shared" ref="J46:J57" si="20">IF($C46=TRUE,VLOOKUP($A46,Subassembly,6,FALSE)*IF($B46=0,1,$B46),($D46/J$13)+$E46)</f>
        <v>0</v>
      </c>
      <c r="K46" s="35">
        <f t="shared" ref="K46:K57" si="21">IF($C46=TRUE,VLOOKUP($A46,Subassembly,7,FALSE)*IF($B46=0,1,$B46),($D46/K$13)+$E46)</f>
        <v>0</v>
      </c>
      <c r="L46" s="35">
        <f t="shared" ref="L46:L57" si="22">IF($C46=TRUE,VLOOKUP($A46,Subassembly,8,FALSE)*IF($B46=0,1,$B46),($D46/L$13)+$E46)</f>
        <v>0</v>
      </c>
      <c r="M46" s="35">
        <f t="shared" ref="M46:M57" si="23">IF($C46=TRUE,VLOOKUP($A46,Subassembly,9,FALSE)*IF($B46=0,1,$B46),($D46/M$13)+$E46)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166"/>
      <c r="B47" s="32"/>
      <c r="C47" s="139" t="b">
        <v>0</v>
      </c>
      <c r="D47" s="134"/>
      <c r="E47" s="189"/>
      <c r="F47" s="35">
        <f t="shared" ref="F47:F57" si="24">IF($C47=TRUE,VLOOKUP($A47,Subassembly,2,FALSE)*IF($B47=0,1,$B47),($D47/F$13)+$E47)</f>
        <v>0</v>
      </c>
      <c r="G47" s="35">
        <f t="shared" si="17"/>
        <v>0</v>
      </c>
      <c r="H47" s="35">
        <f t="shared" si="18"/>
        <v>0</v>
      </c>
      <c r="I47" s="35">
        <f t="shared" si="19"/>
        <v>0</v>
      </c>
      <c r="J47" s="35">
        <f t="shared" si="20"/>
        <v>0</v>
      </c>
      <c r="K47" s="35">
        <f t="shared" si="21"/>
        <v>0</v>
      </c>
      <c r="L47" s="35">
        <f t="shared" si="22"/>
        <v>0</v>
      </c>
      <c r="M47" s="35">
        <f t="shared" si="23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166"/>
      <c r="B48" s="32"/>
      <c r="C48" s="139" t="b">
        <v>0</v>
      </c>
      <c r="D48" s="134"/>
      <c r="E48" s="133"/>
      <c r="F48" s="35">
        <f t="shared" si="24"/>
        <v>0</v>
      </c>
      <c r="G48" s="35">
        <f t="shared" si="17"/>
        <v>0</v>
      </c>
      <c r="H48" s="35">
        <f t="shared" si="18"/>
        <v>0</v>
      </c>
      <c r="I48" s="35">
        <f t="shared" si="19"/>
        <v>0</v>
      </c>
      <c r="J48" s="35">
        <f t="shared" si="20"/>
        <v>0</v>
      </c>
      <c r="K48" s="35">
        <f t="shared" si="21"/>
        <v>0</v>
      </c>
      <c r="L48" s="35">
        <f t="shared" si="22"/>
        <v>0</v>
      </c>
      <c r="M48" s="35">
        <f t="shared" si="23"/>
        <v>0</v>
      </c>
      <c r="N48" s="35"/>
      <c r="O48" s="34"/>
      <c r="P48" s="188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166"/>
      <c r="B49" s="32"/>
      <c r="C49" s="139" t="b">
        <v>0</v>
      </c>
      <c r="D49" s="134"/>
      <c r="E49" s="133"/>
      <c r="F49" s="35">
        <f t="shared" si="24"/>
        <v>0</v>
      </c>
      <c r="G49" s="35">
        <f t="shared" si="17"/>
        <v>0</v>
      </c>
      <c r="H49" s="35">
        <f t="shared" si="18"/>
        <v>0</v>
      </c>
      <c r="I49" s="35">
        <f t="shared" si="19"/>
        <v>0</v>
      </c>
      <c r="J49" s="35">
        <f t="shared" si="20"/>
        <v>0</v>
      </c>
      <c r="K49" s="35">
        <f t="shared" si="21"/>
        <v>0</v>
      </c>
      <c r="L49" s="35">
        <f t="shared" si="22"/>
        <v>0</v>
      </c>
      <c r="M49" s="35">
        <f t="shared" si="23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x14ac:dyDescent="0.25">
      <c r="A50" s="166"/>
      <c r="B50" s="32"/>
      <c r="C50" s="164" t="b">
        <v>0</v>
      </c>
      <c r="D50" s="134"/>
      <c r="E50" s="133"/>
      <c r="F50" s="35">
        <f t="shared" si="24"/>
        <v>0</v>
      </c>
      <c r="G50" s="35">
        <f t="shared" si="17"/>
        <v>0</v>
      </c>
      <c r="H50" s="35">
        <f t="shared" si="18"/>
        <v>0</v>
      </c>
      <c r="I50" s="35">
        <f t="shared" si="19"/>
        <v>0</v>
      </c>
      <c r="J50" s="35">
        <f t="shared" si="20"/>
        <v>0</v>
      </c>
      <c r="K50" s="35">
        <f t="shared" si="21"/>
        <v>0</v>
      </c>
      <c r="L50" s="35">
        <f t="shared" si="22"/>
        <v>0</v>
      </c>
      <c r="M50" s="35">
        <f t="shared" si="23"/>
        <v>0</v>
      </c>
      <c r="N50" s="35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166"/>
      <c r="B51" s="32"/>
      <c r="C51" s="139" t="b">
        <v>0</v>
      </c>
      <c r="D51" s="134"/>
      <c r="E51" s="133"/>
      <c r="F51" s="35">
        <f t="shared" si="24"/>
        <v>0</v>
      </c>
      <c r="G51" s="35">
        <f t="shared" si="17"/>
        <v>0</v>
      </c>
      <c r="H51" s="35">
        <f t="shared" si="18"/>
        <v>0</v>
      </c>
      <c r="I51" s="35">
        <f t="shared" si="19"/>
        <v>0</v>
      </c>
      <c r="J51" s="35">
        <f t="shared" si="20"/>
        <v>0</v>
      </c>
      <c r="K51" s="35">
        <f t="shared" si="21"/>
        <v>0</v>
      </c>
      <c r="L51" s="35">
        <f t="shared" si="22"/>
        <v>0</v>
      </c>
      <c r="M51" s="35">
        <f t="shared" si="23"/>
        <v>0</v>
      </c>
      <c r="N51" s="35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1"/>
      <c r="B52" s="32"/>
      <c r="C52" s="139" t="b">
        <v>0</v>
      </c>
      <c r="D52" s="134"/>
      <c r="E52" s="133"/>
      <c r="F52" s="35">
        <f t="shared" si="24"/>
        <v>0</v>
      </c>
      <c r="G52" s="35">
        <f t="shared" si="17"/>
        <v>0</v>
      </c>
      <c r="H52" s="35">
        <f t="shared" si="18"/>
        <v>0</v>
      </c>
      <c r="I52" s="35">
        <f t="shared" si="19"/>
        <v>0</v>
      </c>
      <c r="J52" s="35">
        <f t="shared" si="20"/>
        <v>0</v>
      </c>
      <c r="K52" s="35">
        <f t="shared" si="21"/>
        <v>0</v>
      </c>
      <c r="L52" s="35">
        <f t="shared" si="22"/>
        <v>0</v>
      </c>
      <c r="M52" s="35">
        <f t="shared" si="23"/>
        <v>0</v>
      </c>
      <c r="N52" s="35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x14ac:dyDescent="0.25">
      <c r="A53" s="31"/>
      <c r="B53" s="32"/>
      <c r="C53" s="139" t="b">
        <v>0</v>
      </c>
      <c r="D53" s="134"/>
      <c r="E53" s="133"/>
      <c r="F53" s="35">
        <f t="shared" si="24"/>
        <v>0</v>
      </c>
      <c r="G53" s="35">
        <f t="shared" si="17"/>
        <v>0</v>
      </c>
      <c r="H53" s="35">
        <f t="shared" si="18"/>
        <v>0</v>
      </c>
      <c r="I53" s="35">
        <f t="shared" si="19"/>
        <v>0</v>
      </c>
      <c r="J53" s="35">
        <f t="shared" si="20"/>
        <v>0</v>
      </c>
      <c r="K53" s="35">
        <f t="shared" si="21"/>
        <v>0</v>
      </c>
      <c r="L53" s="35">
        <f t="shared" si="22"/>
        <v>0</v>
      </c>
      <c r="M53" s="35">
        <f t="shared" si="23"/>
        <v>0</v>
      </c>
      <c r="N53" s="35"/>
      <c r="O53" s="34"/>
      <c r="P53" s="34"/>
      <c r="Q53" s="34"/>
      <c r="R53" s="34"/>
      <c r="S53" s="34"/>
    </row>
    <row r="54" spans="1:32" x14ac:dyDescent="0.25">
      <c r="A54" s="125"/>
      <c r="B54" s="32"/>
      <c r="C54" s="139" t="b">
        <v>0</v>
      </c>
      <c r="D54" s="134"/>
      <c r="E54" s="133"/>
      <c r="F54" s="35">
        <f t="shared" si="24"/>
        <v>0</v>
      </c>
      <c r="G54" s="35">
        <f t="shared" si="17"/>
        <v>0</v>
      </c>
      <c r="H54" s="35">
        <f t="shared" si="18"/>
        <v>0</v>
      </c>
      <c r="I54" s="35">
        <f t="shared" si="19"/>
        <v>0</v>
      </c>
      <c r="J54" s="35">
        <f t="shared" si="20"/>
        <v>0</v>
      </c>
      <c r="K54" s="35">
        <f t="shared" si="21"/>
        <v>0</v>
      </c>
      <c r="L54" s="35">
        <f t="shared" si="22"/>
        <v>0</v>
      </c>
      <c r="M54" s="35">
        <f t="shared" si="23"/>
        <v>0</v>
      </c>
      <c r="N54" s="35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x14ac:dyDescent="0.25">
      <c r="A55" s="125"/>
      <c r="B55" s="32"/>
      <c r="C55" s="139" t="b">
        <v>0</v>
      </c>
      <c r="D55" s="134"/>
      <c r="E55" s="133"/>
      <c r="F55" s="35">
        <f t="shared" si="24"/>
        <v>0</v>
      </c>
      <c r="G55" s="35">
        <f t="shared" si="17"/>
        <v>0</v>
      </c>
      <c r="H55" s="35">
        <f t="shared" si="18"/>
        <v>0</v>
      </c>
      <c r="I55" s="35">
        <f t="shared" si="19"/>
        <v>0</v>
      </c>
      <c r="J55" s="35">
        <f t="shared" si="20"/>
        <v>0</v>
      </c>
      <c r="K55" s="35">
        <f t="shared" si="21"/>
        <v>0</v>
      </c>
      <c r="L55" s="35">
        <f t="shared" si="22"/>
        <v>0</v>
      </c>
      <c r="M55" s="35">
        <f t="shared" si="23"/>
        <v>0</v>
      </c>
      <c r="N55" s="35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x14ac:dyDescent="0.25">
      <c r="A56" s="125"/>
      <c r="B56" s="32"/>
      <c r="C56" s="139" t="b">
        <v>0</v>
      </c>
      <c r="D56" s="134"/>
      <c r="E56" s="133"/>
      <c r="F56" s="35">
        <f t="shared" si="24"/>
        <v>0</v>
      </c>
      <c r="G56" s="35">
        <f t="shared" si="17"/>
        <v>0</v>
      </c>
      <c r="H56" s="35">
        <f t="shared" si="18"/>
        <v>0</v>
      </c>
      <c r="I56" s="35">
        <f t="shared" si="19"/>
        <v>0</v>
      </c>
      <c r="J56" s="35">
        <f t="shared" si="20"/>
        <v>0</v>
      </c>
      <c r="K56" s="35">
        <f t="shared" si="21"/>
        <v>0</v>
      </c>
      <c r="L56" s="35">
        <f t="shared" si="22"/>
        <v>0</v>
      </c>
      <c r="M56" s="35">
        <f t="shared" si="23"/>
        <v>0</v>
      </c>
      <c r="N56" s="3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ht="15.75" thickBot="1" x14ac:dyDescent="0.3">
      <c r="A57" s="125"/>
      <c r="B57" s="42"/>
      <c r="C57" s="139" t="b">
        <v>0</v>
      </c>
      <c r="D57" s="135"/>
      <c r="E57" s="136"/>
      <c r="F57" s="35">
        <f t="shared" si="24"/>
        <v>0</v>
      </c>
      <c r="G57" s="35">
        <f t="shared" si="17"/>
        <v>0</v>
      </c>
      <c r="H57" s="35">
        <f t="shared" si="18"/>
        <v>0</v>
      </c>
      <c r="I57" s="35">
        <f t="shared" si="19"/>
        <v>0</v>
      </c>
      <c r="J57" s="35">
        <f t="shared" si="20"/>
        <v>0</v>
      </c>
      <c r="K57" s="35">
        <f t="shared" si="21"/>
        <v>0</v>
      </c>
      <c r="L57" s="35">
        <f t="shared" si="22"/>
        <v>0</v>
      </c>
      <c r="M57" s="35">
        <f t="shared" si="23"/>
        <v>0</v>
      </c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2"/>
      <c r="B58" s="195" t="s">
        <v>15</v>
      </c>
      <c r="C58" s="195"/>
      <c r="D58" s="195"/>
      <c r="E58" s="196"/>
      <c r="F58" s="63">
        <f>SUM(F33:F44)</f>
        <v>0</v>
      </c>
      <c r="G58" s="63">
        <f t="shared" ref="G58:M58" si="25">SUM(G33:G44)</f>
        <v>0</v>
      </c>
      <c r="H58" s="63">
        <f t="shared" ref="H58" si="26">SUM(H33:H44)</f>
        <v>0</v>
      </c>
      <c r="I58" s="63">
        <f t="shared" si="25"/>
        <v>0</v>
      </c>
      <c r="J58" s="63">
        <f t="shared" ref="J58:K58" si="27">SUM(J33:J44)</f>
        <v>0</v>
      </c>
      <c r="K58" s="63">
        <f t="shared" si="27"/>
        <v>0</v>
      </c>
      <c r="L58" s="63">
        <f t="shared" si="25"/>
        <v>0</v>
      </c>
      <c r="M58" s="63">
        <f t="shared" si="25"/>
        <v>0</v>
      </c>
      <c r="N58" s="64">
        <f>IF(N13=0,0,SUM(N42:N44))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197" t="s">
        <v>16</v>
      </c>
      <c r="C59" s="197"/>
      <c r="D59" s="197"/>
      <c r="E59" s="198"/>
      <c r="F59" s="15">
        <f>SUM(F46:F57)</f>
        <v>0</v>
      </c>
      <c r="G59" s="15">
        <f t="shared" ref="G59:M59" si="28">SUM(G46:G57)</f>
        <v>0</v>
      </c>
      <c r="H59" s="15">
        <f t="shared" si="28"/>
        <v>0</v>
      </c>
      <c r="I59" s="15">
        <f t="shared" si="28"/>
        <v>0</v>
      </c>
      <c r="J59" s="15">
        <f t="shared" ref="J59:K59" si="29">SUM(J46:J57)</f>
        <v>0</v>
      </c>
      <c r="K59" s="15">
        <f t="shared" si="29"/>
        <v>0</v>
      </c>
      <c r="L59" s="15">
        <f t="shared" si="28"/>
        <v>0</v>
      </c>
      <c r="M59" s="15">
        <f t="shared" si="28"/>
        <v>0</v>
      </c>
      <c r="N59" s="65">
        <f>IF(N13=0,0,SUM(N46:N57))</f>
        <v>0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ht="15.75" thickBot="1" x14ac:dyDescent="0.3">
      <c r="A60" s="4"/>
      <c r="B60" s="199" t="s">
        <v>17</v>
      </c>
      <c r="C60" s="199"/>
      <c r="D60" s="199"/>
      <c r="E60" s="200"/>
      <c r="F60" s="66">
        <f>SUM(F30+F58+F59)</f>
        <v>0</v>
      </c>
      <c r="G60" s="66">
        <f t="shared" ref="G60:M60" si="30">SUM(G30+G58+G59)</f>
        <v>0</v>
      </c>
      <c r="H60" s="66">
        <f t="shared" si="30"/>
        <v>0</v>
      </c>
      <c r="I60" s="66">
        <f t="shared" si="30"/>
        <v>0</v>
      </c>
      <c r="J60" s="66">
        <f t="shared" ref="J60:K60" si="31">SUM(J30+J58+J59)</f>
        <v>0</v>
      </c>
      <c r="K60" s="66">
        <f t="shared" si="31"/>
        <v>0</v>
      </c>
      <c r="L60" s="66">
        <f t="shared" si="30"/>
        <v>0</v>
      </c>
      <c r="M60" s="66">
        <f t="shared" si="30"/>
        <v>0</v>
      </c>
      <c r="N60" s="66">
        <f>IF(N13=0,0,SUM(N30+N58+N59))</f>
        <v>0</v>
      </c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ht="15.75" thickBot="1" x14ac:dyDescent="0.3">
      <c r="A61" s="119"/>
      <c r="B61" s="98"/>
      <c r="C61" s="98"/>
      <c r="D61" s="98"/>
      <c r="E61" s="98"/>
      <c r="F61" s="120"/>
      <c r="G61" s="120"/>
      <c r="H61" s="120"/>
      <c r="I61" s="120"/>
      <c r="J61" s="120"/>
      <c r="K61" s="120"/>
      <c r="L61" s="120"/>
      <c r="M61" s="120"/>
      <c r="N61" s="120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x14ac:dyDescent="0.25">
      <c r="A62" s="3"/>
      <c r="D62" s="68" t="s">
        <v>18</v>
      </c>
      <c r="E62" s="69">
        <v>0</v>
      </c>
      <c r="F62" s="15">
        <f>F30*$E62</f>
        <v>0</v>
      </c>
      <c r="G62" s="15">
        <f t="shared" ref="G62:M62" si="32">G30*$E62</f>
        <v>0</v>
      </c>
      <c r="H62" s="15">
        <f t="shared" si="32"/>
        <v>0</v>
      </c>
      <c r="I62" s="15">
        <f t="shared" si="32"/>
        <v>0</v>
      </c>
      <c r="J62" s="15">
        <f t="shared" ref="J62:K62" si="33">J30*$E62</f>
        <v>0</v>
      </c>
      <c r="K62" s="15">
        <f t="shared" si="33"/>
        <v>0</v>
      </c>
      <c r="L62" s="15">
        <f t="shared" si="32"/>
        <v>0</v>
      </c>
      <c r="M62" s="15">
        <f t="shared" si="32"/>
        <v>0</v>
      </c>
      <c r="N62" s="15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x14ac:dyDescent="0.25">
      <c r="A63" s="3"/>
      <c r="D63" s="68" t="s">
        <v>22</v>
      </c>
      <c r="E63" s="69">
        <v>0</v>
      </c>
      <c r="F63" s="15">
        <f>F58*$E63</f>
        <v>0</v>
      </c>
      <c r="G63" s="15">
        <f t="shared" ref="G63:M64" si="34">G58*$E63</f>
        <v>0</v>
      </c>
      <c r="H63" s="15">
        <f t="shared" si="34"/>
        <v>0</v>
      </c>
      <c r="I63" s="15">
        <f t="shared" si="34"/>
        <v>0</v>
      </c>
      <c r="J63" s="15">
        <f t="shared" ref="J63:K63" si="35">J58*$E63</f>
        <v>0</v>
      </c>
      <c r="K63" s="15">
        <f t="shared" si="35"/>
        <v>0</v>
      </c>
      <c r="L63" s="15">
        <f t="shared" si="34"/>
        <v>0</v>
      </c>
      <c r="M63" s="15">
        <f t="shared" si="34"/>
        <v>0</v>
      </c>
      <c r="N63" s="15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A64" s="3"/>
      <c r="D64" s="68" t="s">
        <v>51</v>
      </c>
      <c r="E64" s="69">
        <v>0</v>
      </c>
      <c r="F64" s="15">
        <f>F59*$E64</f>
        <v>0</v>
      </c>
      <c r="G64" s="15">
        <f t="shared" ref="G64:M64" si="36">G59*$E64</f>
        <v>0</v>
      </c>
      <c r="H64" s="15">
        <f t="shared" si="34"/>
        <v>0</v>
      </c>
      <c r="I64" s="15">
        <f t="shared" si="36"/>
        <v>0</v>
      </c>
      <c r="J64" s="15">
        <f t="shared" ref="J64:K64" si="37">J59*$E64</f>
        <v>0</v>
      </c>
      <c r="K64" s="15">
        <f t="shared" si="37"/>
        <v>0</v>
      </c>
      <c r="L64" s="15">
        <f t="shared" si="36"/>
        <v>0</v>
      </c>
      <c r="M64" s="15">
        <f t="shared" si="36"/>
        <v>0</v>
      </c>
      <c r="N64" s="15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</row>
    <row r="65" spans="1:32" ht="15.75" thickBot="1" x14ac:dyDescent="0.3">
      <c r="A65" s="4"/>
      <c r="B65" s="1"/>
      <c r="C65" s="1"/>
      <c r="D65" s="1"/>
      <c r="E65" s="70" t="s">
        <v>19</v>
      </c>
      <c r="F65" s="71">
        <f>SUM(F62:F64)</f>
        <v>0</v>
      </c>
      <c r="G65" s="71">
        <f t="shared" ref="G65:M65" si="38">SUM(G62:G64)</f>
        <v>0</v>
      </c>
      <c r="H65" s="71">
        <f t="shared" si="38"/>
        <v>0</v>
      </c>
      <c r="I65" s="71">
        <f t="shared" si="38"/>
        <v>0</v>
      </c>
      <c r="J65" s="71">
        <f t="shared" ref="J65:K65" si="39">SUM(J62:J64)</f>
        <v>0</v>
      </c>
      <c r="K65" s="71">
        <f t="shared" si="39"/>
        <v>0</v>
      </c>
      <c r="L65" s="71">
        <f t="shared" si="38"/>
        <v>0</v>
      </c>
      <c r="M65" s="71">
        <f t="shared" si="38"/>
        <v>0</v>
      </c>
      <c r="N65" s="71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</row>
    <row r="66" spans="1:32" x14ac:dyDescent="0.25">
      <c r="A66" s="2"/>
      <c r="B66" s="67"/>
      <c r="C66" s="67"/>
      <c r="D66" s="72" t="s">
        <v>20</v>
      </c>
      <c r="E66" s="175">
        <v>0</v>
      </c>
      <c r="F66" s="63">
        <f>(F30+F62)*$E66</f>
        <v>0</v>
      </c>
      <c r="G66" s="63">
        <f t="shared" ref="G66:M66" si="40">(G30+G62)*$E66</f>
        <v>0</v>
      </c>
      <c r="H66" s="63">
        <f t="shared" si="40"/>
        <v>0</v>
      </c>
      <c r="I66" s="63">
        <f t="shared" si="40"/>
        <v>0</v>
      </c>
      <c r="J66" s="63">
        <f t="shared" ref="J66:K66" si="41">(J30+J62)*$E66</f>
        <v>0</v>
      </c>
      <c r="K66" s="63">
        <f t="shared" si="41"/>
        <v>0</v>
      </c>
      <c r="L66" s="63">
        <f t="shared" si="40"/>
        <v>0</v>
      </c>
      <c r="M66" s="63">
        <f t="shared" si="40"/>
        <v>0</v>
      </c>
      <c r="N66" s="63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</row>
    <row r="67" spans="1:32" x14ac:dyDescent="0.25">
      <c r="A67" s="3"/>
      <c r="D67" s="68" t="s">
        <v>49</v>
      </c>
      <c r="E67" s="176">
        <v>0</v>
      </c>
      <c r="F67" s="15">
        <f>(+F63+F58)*$E67</f>
        <v>0</v>
      </c>
      <c r="G67" s="15">
        <f t="shared" ref="G67:M68" si="42">(+G63+G58)*$E67</f>
        <v>0</v>
      </c>
      <c r="H67" s="15">
        <f t="shared" si="42"/>
        <v>0</v>
      </c>
      <c r="I67" s="15">
        <f t="shared" si="42"/>
        <v>0</v>
      </c>
      <c r="J67" s="15">
        <f t="shared" ref="J67:K67" si="43">(+J63+J58)*$E67</f>
        <v>0</v>
      </c>
      <c r="K67" s="15">
        <f t="shared" si="43"/>
        <v>0</v>
      </c>
      <c r="L67" s="15">
        <f t="shared" si="42"/>
        <v>0</v>
      </c>
      <c r="M67" s="15">
        <f t="shared" si="42"/>
        <v>0</v>
      </c>
      <c r="N67" s="15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</row>
    <row r="68" spans="1:32" x14ac:dyDescent="0.25">
      <c r="A68" s="3"/>
      <c r="D68" s="68" t="s">
        <v>50</v>
      </c>
      <c r="E68" s="69">
        <v>0</v>
      </c>
      <c r="F68" s="15">
        <f>(+F64+F59)*$E68</f>
        <v>0</v>
      </c>
      <c r="G68" s="15">
        <f t="shared" ref="G68:M68" si="44">(+G64+G59)*$E68</f>
        <v>0</v>
      </c>
      <c r="H68" s="15">
        <f t="shared" si="42"/>
        <v>0</v>
      </c>
      <c r="I68" s="15">
        <f t="shared" si="44"/>
        <v>0</v>
      </c>
      <c r="J68" s="15">
        <f t="shared" ref="J68:K68" si="45">(+J64+J59)*$E68</f>
        <v>0</v>
      </c>
      <c r="K68" s="15">
        <f t="shared" si="45"/>
        <v>0</v>
      </c>
      <c r="L68" s="15">
        <f t="shared" si="44"/>
        <v>0</v>
      </c>
      <c r="M68" s="15">
        <f t="shared" si="44"/>
        <v>0</v>
      </c>
      <c r="N68" s="15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</row>
    <row r="69" spans="1:32" ht="14.25" customHeight="1" thickBot="1" x14ac:dyDescent="0.3">
      <c r="A69" s="4"/>
      <c r="B69" s="1"/>
      <c r="C69" s="1"/>
      <c r="D69" s="1"/>
      <c r="E69" s="70" t="s">
        <v>19</v>
      </c>
      <c r="F69" s="71">
        <f>SUM(F66:F68)</f>
        <v>0</v>
      </c>
      <c r="G69" s="71">
        <f t="shared" ref="G69:M69" si="46">SUM(G66:G68)</f>
        <v>0</v>
      </c>
      <c r="H69" s="71">
        <f t="shared" si="46"/>
        <v>0</v>
      </c>
      <c r="I69" s="71">
        <f t="shared" si="46"/>
        <v>0</v>
      </c>
      <c r="J69" s="71">
        <f t="shared" ref="J69:K69" si="47">SUM(J66:J68)</f>
        <v>0</v>
      </c>
      <c r="K69" s="71">
        <f t="shared" si="47"/>
        <v>0</v>
      </c>
      <c r="L69" s="71">
        <f t="shared" si="46"/>
        <v>0</v>
      </c>
      <c r="M69" s="71">
        <f t="shared" si="46"/>
        <v>0</v>
      </c>
      <c r="N69" s="71"/>
      <c r="O69" s="34"/>
      <c r="P69" s="34"/>
      <c r="Q69" s="210" t="s">
        <v>62</v>
      </c>
      <c r="R69" s="210"/>
      <c r="S69" s="210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</row>
    <row r="70" spans="1:32" ht="12" hidden="1" customHeight="1" thickBot="1" x14ac:dyDescent="0.3">
      <c r="A70" s="2"/>
      <c r="B70" s="67"/>
      <c r="C70" s="67"/>
      <c r="D70" s="67"/>
      <c r="E70" s="86" t="s">
        <v>44</v>
      </c>
      <c r="F70" s="87">
        <f>SUM(F60+F65+F69)</f>
        <v>0</v>
      </c>
      <c r="G70" s="88">
        <f t="shared" ref="G70:N70" si="48">SUM(G60+G65+G69)</f>
        <v>0</v>
      </c>
      <c r="H70" s="88">
        <f t="shared" si="48"/>
        <v>0</v>
      </c>
      <c r="I70" s="88">
        <f t="shared" si="48"/>
        <v>0</v>
      </c>
      <c r="J70" s="88">
        <f t="shared" ref="J70:K70" si="49">SUM(J60+J65+J69)</f>
        <v>0</v>
      </c>
      <c r="K70" s="88">
        <f t="shared" si="49"/>
        <v>0</v>
      </c>
      <c r="L70" s="88">
        <f t="shared" si="48"/>
        <v>0</v>
      </c>
      <c r="M70" s="88">
        <f t="shared" si="48"/>
        <v>0</v>
      </c>
      <c r="N70" s="89">
        <f t="shared" si="48"/>
        <v>0</v>
      </c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</row>
    <row r="71" spans="1:32" ht="15.75" hidden="1" thickBot="1" x14ac:dyDescent="0.3">
      <c r="A71" s="3"/>
      <c r="D71" s="201" t="s">
        <v>21</v>
      </c>
      <c r="E71" s="202"/>
      <c r="F71" s="73" t="e">
        <f>(F70-F60)/F70</f>
        <v>#DIV/0!</v>
      </c>
      <c r="G71" s="74" t="e">
        <f t="shared" ref="G71:M71" si="50">(G70-G60)/G70</f>
        <v>#DIV/0!</v>
      </c>
      <c r="H71" s="74" t="e">
        <f t="shared" si="50"/>
        <v>#DIV/0!</v>
      </c>
      <c r="I71" s="74" t="e">
        <f t="shared" si="50"/>
        <v>#DIV/0!</v>
      </c>
      <c r="J71" s="74" t="e">
        <f t="shared" ref="J71:K71" si="51">(J70-J60)/J70</f>
        <v>#DIV/0!</v>
      </c>
      <c r="K71" s="74" t="e">
        <f t="shared" si="51"/>
        <v>#DIV/0!</v>
      </c>
      <c r="L71" s="74" t="e">
        <f t="shared" si="50"/>
        <v>#DIV/0!</v>
      </c>
      <c r="M71" s="74" t="e">
        <f t="shared" si="50"/>
        <v>#DIV/0!</v>
      </c>
      <c r="N71" s="75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</row>
    <row r="72" spans="1:32" x14ac:dyDescent="0.25">
      <c r="A72" s="3"/>
      <c r="B72" s="29"/>
      <c r="D72" s="201" t="s">
        <v>2</v>
      </c>
      <c r="E72" s="202"/>
      <c r="F72" s="76">
        <f>SUM((F30,F62,F66))</f>
        <v>0</v>
      </c>
      <c r="G72" s="76">
        <f>SUM((G30,G62,G66))</f>
        <v>0</v>
      </c>
      <c r="H72" s="76">
        <f>SUM((H30,H62,H66))</f>
        <v>0</v>
      </c>
      <c r="I72" s="76">
        <f>SUM((I30,I62,I66))</f>
        <v>0</v>
      </c>
      <c r="J72" s="76">
        <f>SUM((J30,J62,J66))</f>
        <v>0</v>
      </c>
      <c r="K72" s="76">
        <f>SUM((K30,K62,K66))</f>
        <v>0</v>
      </c>
      <c r="L72" s="76">
        <f>SUM((L30,L62,L66))</f>
        <v>0</v>
      </c>
      <c r="M72" s="76">
        <f>SUM((M30,M62,M66))</f>
        <v>0</v>
      </c>
      <c r="N72" s="63">
        <f>SUM((N30,N62,N66))</f>
        <v>0</v>
      </c>
      <c r="O72" s="34"/>
      <c r="P72" s="34"/>
      <c r="Q72" s="171" t="s">
        <v>40</v>
      </c>
      <c r="R72" s="171" t="s">
        <v>60</v>
      </c>
      <c r="S72" s="171" t="s">
        <v>61</v>
      </c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</row>
    <row r="73" spans="1:32" x14ac:dyDescent="0.25">
      <c r="A73" s="3"/>
      <c r="B73" s="29"/>
      <c r="C73" s="201" t="s">
        <v>88</v>
      </c>
      <c r="D73" s="201"/>
      <c r="E73" s="202"/>
      <c r="F73" s="14">
        <f>(F58+F63+F67)</f>
        <v>0</v>
      </c>
      <c r="G73" s="14">
        <f t="shared" ref="G73:N73" si="52">(G58+G63+G67)</f>
        <v>0</v>
      </c>
      <c r="H73" s="14">
        <f t="shared" si="52"/>
        <v>0</v>
      </c>
      <c r="I73" s="14">
        <f t="shared" si="52"/>
        <v>0</v>
      </c>
      <c r="J73" s="14">
        <f t="shared" ref="J73:K73" si="53">(J58+J63+J67)</f>
        <v>0</v>
      </c>
      <c r="K73" s="14">
        <f t="shared" si="53"/>
        <v>0</v>
      </c>
      <c r="L73" s="14">
        <f t="shared" si="52"/>
        <v>0</v>
      </c>
      <c r="M73" s="14">
        <f t="shared" si="52"/>
        <v>0</v>
      </c>
      <c r="N73" s="15">
        <f t="shared" si="52"/>
        <v>0</v>
      </c>
      <c r="O73" s="34"/>
      <c r="P73" s="34"/>
      <c r="Q73" s="167">
        <f>F13</f>
        <v>10</v>
      </c>
      <c r="R73" s="168">
        <f>F80</f>
        <v>0</v>
      </c>
      <c r="S73" s="168">
        <f>R73*Q73</f>
        <v>0</v>
      </c>
      <c r="T73" s="114"/>
      <c r="U73" s="114"/>
      <c r="V73" s="114"/>
      <c r="W73" s="114"/>
      <c r="X73" s="114"/>
      <c r="Y73" s="114"/>
      <c r="Z73" s="34"/>
      <c r="AA73" s="34"/>
      <c r="AB73" s="34"/>
      <c r="AC73" s="34"/>
      <c r="AD73" s="34"/>
      <c r="AE73" s="34"/>
      <c r="AF73" s="34"/>
    </row>
    <row r="74" spans="1:32" x14ac:dyDescent="0.25">
      <c r="A74" s="3"/>
      <c r="B74" s="29"/>
      <c r="D74" s="201" t="s">
        <v>89</v>
      </c>
      <c r="E74" s="202"/>
      <c r="F74" s="14">
        <f>F59+F64+F68</f>
        <v>0</v>
      </c>
      <c r="G74" s="14">
        <f t="shared" ref="G74:N74" si="54">G59+G64+G68</f>
        <v>0</v>
      </c>
      <c r="H74" s="14">
        <f t="shared" si="54"/>
        <v>0</v>
      </c>
      <c r="I74" s="14">
        <f t="shared" si="54"/>
        <v>0</v>
      </c>
      <c r="J74" s="14">
        <f t="shared" ref="J74:K74" si="55">J59+J64+J68</f>
        <v>0</v>
      </c>
      <c r="K74" s="14">
        <f t="shared" si="55"/>
        <v>0</v>
      </c>
      <c r="L74" s="14">
        <f t="shared" si="54"/>
        <v>0</v>
      </c>
      <c r="M74" s="14">
        <f t="shared" si="54"/>
        <v>0</v>
      </c>
      <c r="N74" s="15">
        <f t="shared" si="54"/>
        <v>0</v>
      </c>
      <c r="O74" s="34"/>
      <c r="P74" s="124"/>
      <c r="Q74" s="169">
        <f>G13</f>
        <v>25</v>
      </c>
      <c r="R74" s="170">
        <f>G80</f>
        <v>0</v>
      </c>
      <c r="S74" s="170">
        <f t="shared" ref="S74:S76" si="56">R74*Q74</f>
        <v>0</v>
      </c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</row>
    <row r="75" spans="1:32" x14ac:dyDescent="0.25">
      <c r="A75" s="3"/>
      <c r="D75" s="207" t="s">
        <v>41</v>
      </c>
      <c r="E75" s="208"/>
      <c r="F75" s="62">
        <f>SUM(F72:F74)</f>
        <v>0</v>
      </c>
      <c r="G75" s="77">
        <f t="shared" ref="G75:N75" si="57">SUM(G72:G74)</f>
        <v>0</v>
      </c>
      <c r="H75" s="62">
        <f t="shared" si="57"/>
        <v>0</v>
      </c>
      <c r="I75" s="62">
        <f t="shared" si="57"/>
        <v>0</v>
      </c>
      <c r="J75" s="62">
        <f t="shared" ref="J75:K75" si="58">SUM(J72:J74)</f>
        <v>0</v>
      </c>
      <c r="K75" s="62">
        <f t="shared" si="58"/>
        <v>0</v>
      </c>
      <c r="L75" s="62">
        <f t="shared" si="57"/>
        <v>0</v>
      </c>
      <c r="M75" s="62">
        <f t="shared" si="57"/>
        <v>0</v>
      </c>
      <c r="N75" s="77">
        <f t="shared" si="57"/>
        <v>0</v>
      </c>
      <c r="O75" s="125"/>
      <c r="P75" s="124"/>
      <c r="Q75" s="167">
        <f>H13</f>
        <v>50</v>
      </c>
      <c r="R75" s="168">
        <f>H80</f>
        <v>0</v>
      </c>
      <c r="S75" s="168">
        <f t="shared" si="56"/>
        <v>0</v>
      </c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</row>
    <row r="76" spans="1:32" x14ac:dyDescent="0.25">
      <c r="A76" s="3"/>
      <c r="B76" s="81"/>
      <c r="D76" s="201" t="s">
        <v>87</v>
      </c>
      <c r="E76" s="202"/>
      <c r="F76" s="82">
        <f t="shared" ref="F76:M76" si="59">$N$75/F13</f>
        <v>0</v>
      </c>
      <c r="G76" s="77">
        <f t="shared" si="59"/>
        <v>0</v>
      </c>
      <c r="H76" s="62">
        <f t="shared" si="59"/>
        <v>0</v>
      </c>
      <c r="I76" s="77">
        <f t="shared" si="59"/>
        <v>0</v>
      </c>
      <c r="J76" s="77">
        <f t="shared" ref="J76:K76" si="60">$N$75/J13</f>
        <v>0</v>
      </c>
      <c r="K76" s="77">
        <f t="shared" si="60"/>
        <v>0</v>
      </c>
      <c r="L76" s="77">
        <f t="shared" si="59"/>
        <v>0</v>
      </c>
      <c r="M76" s="77">
        <f t="shared" si="59"/>
        <v>0</v>
      </c>
      <c r="N76" s="77"/>
      <c r="O76" s="125"/>
      <c r="P76" s="124"/>
      <c r="Q76" s="169">
        <f>I13</f>
        <v>75</v>
      </c>
      <c r="R76" s="170">
        <f>I80</f>
        <v>0</v>
      </c>
      <c r="S76" s="170">
        <f t="shared" si="56"/>
        <v>0</v>
      </c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</row>
    <row r="77" spans="1:32" x14ac:dyDescent="0.25">
      <c r="A77" s="3"/>
      <c r="B77" s="81"/>
      <c r="D77" s="201" t="s">
        <v>86</v>
      </c>
      <c r="E77" s="202"/>
      <c r="F77" s="82">
        <f>F60-F60*$G$3</f>
        <v>0</v>
      </c>
      <c r="G77" s="82">
        <f t="shared" ref="G77:M77" si="61">G60-G60*$G$3</f>
        <v>0</v>
      </c>
      <c r="H77" s="82">
        <f t="shared" si="61"/>
        <v>0</v>
      </c>
      <c r="I77" s="82">
        <f t="shared" si="61"/>
        <v>0</v>
      </c>
      <c r="J77" s="82">
        <f t="shared" ref="J77:K77" si="62">J60-J60*$G$3</f>
        <v>0</v>
      </c>
      <c r="K77" s="82">
        <f t="shared" si="62"/>
        <v>0</v>
      </c>
      <c r="L77" s="82">
        <f t="shared" si="61"/>
        <v>0</v>
      </c>
      <c r="M77" s="82">
        <f t="shared" si="61"/>
        <v>0</v>
      </c>
      <c r="N77" s="77"/>
      <c r="O77" s="34"/>
      <c r="P77" s="124"/>
      <c r="Q77" s="167">
        <f>J13</f>
        <v>100</v>
      </c>
      <c r="R77" s="168">
        <f>J80</f>
        <v>0</v>
      </c>
      <c r="S77" s="168">
        <f>R77*Q77</f>
        <v>0</v>
      </c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</row>
    <row r="78" spans="1:32" ht="15.75" thickBot="1" x14ac:dyDescent="0.3">
      <c r="A78" s="3"/>
      <c r="D78" s="197" t="s">
        <v>43</v>
      </c>
      <c r="E78" s="198"/>
      <c r="F78" s="182">
        <v>0</v>
      </c>
      <c r="G78" s="183">
        <v>0</v>
      </c>
      <c r="H78" s="182">
        <v>0</v>
      </c>
      <c r="I78" s="182">
        <v>0</v>
      </c>
      <c r="J78" s="182">
        <v>0</v>
      </c>
      <c r="K78" s="182">
        <v>0</v>
      </c>
      <c r="L78" s="182">
        <v>0</v>
      </c>
      <c r="M78" s="182">
        <v>0</v>
      </c>
      <c r="N78" s="184"/>
      <c r="O78" s="34"/>
      <c r="P78" s="34"/>
      <c r="Q78" s="169">
        <f>K13</f>
        <v>250</v>
      </c>
      <c r="R78" s="170">
        <f>K80</f>
        <v>0</v>
      </c>
      <c r="S78" s="170">
        <f>R78*Q78</f>
        <v>0</v>
      </c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</row>
    <row r="79" spans="1:32" ht="15.75" thickBot="1" x14ac:dyDescent="0.3">
      <c r="A79" s="185"/>
      <c r="B79" s="220" t="s">
        <v>91</v>
      </c>
      <c r="C79" s="221"/>
      <c r="D79" s="222"/>
      <c r="E79" s="186">
        <v>0</v>
      </c>
      <c r="F79" s="84">
        <f>F75*$E$79</f>
        <v>0</v>
      </c>
      <c r="G79" s="84">
        <f t="shared" ref="G79:M79" si="63">G75*$E$79</f>
        <v>0</v>
      </c>
      <c r="H79" s="84">
        <f t="shared" si="63"/>
        <v>0</v>
      </c>
      <c r="I79" s="84">
        <f t="shared" si="63"/>
        <v>0</v>
      </c>
      <c r="J79" s="84">
        <f t="shared" ref="J79:K79" si="64">J75*$E$79</f>
        <v>0</v>
      </c>
      <c r="K79" s="84">
        <f t="shared" si="64"/>
        <v>0</v>
      </c>
      <c r="L79" s="84">
        <f t="shared" si="63"/>
        <v>0</v>
      </c>
      <c r="M79" s="84">
        <f t="shared" si="63"/>
        <v>0</v>
      </c>
      <c r="N79" s="83"/>
      <c r="O79" s="34"/>
      <c r="P79" s="34"/>
      <c r="Q79" s="191">
        <f>L13</f>
        <v>500</v>
      </c>
      <c r="R79" s="168">
        <f>L80</f>
        <v>0</v>
      </c>
      <c r="S79" s="168">
        <f>R79*Q79</f>
        <v>0</v>
      </c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</row>
    <row r="80" spans="1:32" ht="15.75" thickBot="1" x14ac:dyDescent="0.3">
      <c r="D80" s="205" t="s">
        <v>90</v>
      </c>
      <c r="E80" s="206"/>
      <c r="F80" s="80">
        <f>SUM(F75:F79)</f>
        <v>0</v>
      </c>
      <c r="G80" s="80">
        <f t="shared" ref="G80:M80" si="65">SUM(G75:G79)</f>
        <v>0</v>
      </c>
      <c r="H80" s="80">
        <f t="shared" si="65"/>
        <v>0</v>
      </c>
      <c r="I80" s="80">
        <f t="shared" si="65"/>
        <v>0</v>
      </c>
      <c r="J80" s="80">
        <f t="shared" ref="J80:K80" si="66">SUM(J75:J79)</f>
        <v>0</v>
      </c>
      <c r="K80" s="80">
        <f t="shared" si="66"/>
        <v>0</v>
      </c>
      <c r="L80" s="80">
        <f t="shared" si="65"/>
        <v>0</v>
      </c>
      <c r="M80" s="80">
        <f t="shared" si="65"/>
        <v>0</v>
      </c>
      <c r="N80" s="78"/>
      <c r="O80" s="34"/>
      <c r="P80" s="34"/>
      <c r="Q80" s="169">
        <f>M13</f>
        <v>1000</v>
      </c>
      <c r="R80" s="170">
        <f>M80</f>
        <v>0</v>
      </c>
      <c r="S80" s="170">
        <f>R80*Q80</f>
        <v>0</v>
      </c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</row>
    <row r="81" spans="1:14" ht="15.75" thickBot="1" x14ac:dyDescent="0.3">
      <c r="D81" s="209" t="s">
        <v>82</v>
      </c>
      <c r="E81" s="209"/>
      <c r="F81" s="177" t="e">
        <f>(F80-F60-F76-F77)/(F80-F76)</f>
        <v>#DIV/0!</v>
      </c>
      <c r="G81" s="177" t="e">
        <f t="shared" ref="G81:M81" si="67">(G80-G60-G76-G77)/(G80-G76)</f>
        <v>#DIV/0!</v>
      </c>
      <c r="H81" s="177" t="e">
        <f t="shared" si="67"/>
        <v>#DIV/0!</v>
      </c>
      <c r="I81" s="177" t="e">
        <f t="shared" si="67"/>
        <v>#DIV/0!</v>
      </c>
      <c r="J81" s="177" t="e">
        <f t="shared" ref="J81:K81" si="68">(J80-J60-J76-J77)/(J80-J76)</f>
        <v>#DIV/0!</v>
      </c>
      <c r="K81" s="177" t="e">
        <f t="shared" si="68"/>
        <v>#DIV/0!</v>
      </c>
      <c r="L81" s="177" t="e">
        <f t="shared" si="67"/>
        <v>#DIV/0!</v>
      </c>
      <c r="M81" s="177" t="e">
        <f t="shared" si="67"/>
        <v>#DIV/0!</v>
      </c>
      <c r="N81" s="28"/>
    </row>
    <row r="82" spans="1:14" ht="15.75" thickBot="1" x14ac:dyDescent="0.3">
      <c r="D82" s="209" t="s">
        <v>83</v>
      </c>
      <c r="E82" s="209"/>
      <c r="F82" s="177" t="e">
        <f>(F58+'Subassy 1'!F51+'Subassy 2'!F51+'Subassy 3'!F51+'Subassy 4'!F51+'Subassy 5'!F51+'Subassy 6'!F51+'Subassy 7'!F51+'Subassy 8'!F51+'Subassy 9'!F51+'Subassy 10'!F51+'Subassy 11'!F51+'Subassy 12'!F51)/F80</f>
        <v>#DIV/0!</v>
      </c>
      <c r="G82" s="177" t="e">
        <f>(G58+'Subassy 1'!G51+'Subassy 2'!G51+'Subassy 3'!G51+'Subassy 4'!G51+'Subassy 5'!G51+'Subassy 6'!G51+'Subassy 7'!G51+'Subassy 8'!G51+'Subassy 9'!G51+'Subassy 10'!G51+'Subassy 11'!G51+'Subassy 12'!G51)/G80</f>
        <v>#DIV/0!</v>
      </c>
      <c r="H82" s="177" t="e">
        <f>(H58+'Subassy 1'!H51+'Subassy 2'!H51+'Subassy 3'!H51+'Subassy 4'!H51+'Subassy 5'!H51+'Subassy 6'!H51+'Subassy 7'!H51+'Subassy 8'!H51+'Subassy 9'!H51+'Subassy 10'!H51+'Subassy 11'!H51+'Subassy 12'!H51)/H80</f>
        <v>#DIV/0!</v>
      </c>
      <c r="I82" s="177" t="e">
        <f>(I58+'Subassy 1'!I51+'Subassy 2'!K51+'Subassy 3'!K51+'Subassy 4'!I51+'Subassy 5'!I51+'Subassy 6'!I51+'Subassy 7'!I51+'Subassy 8'!I51+'Subassy 9'!I51+'Subassy 10'!I51+'Subassy 11'!I51+'Subassy 12'!I51)/I80</f>
        <v>#DIV/0!</v>
      </c>
      <c r="J82" s="177" t="e">
        <f>(J58+'Subassy 1'!L51+'Subassy 2'!L51+'Subassy 3'!L51+'Subassy 4'!L51+'Subassy 5'!L51+'Subassy 6'!L51+'Subassy 7'!L51+'Subassy 8'!L51+'Subassy 9'!L51+'Subassy 10'!L51+'Subassy 11'!L51+'Subassy 12'!L51)/J80</f>
        <v>#DIV/0!</v>
      </c>
      <c r="K82" s="177" t="e">
        <f>(K58+'Subassy 1'!M51+'Subassy 2'!M51+'Subassy 3'!M51+'Subassy 4'!M51+'Subassy 5'!M51+'Subassy 6'!M51+'Subassy 7'!M51+'Subassy 8'!M51+'Subassy 9'!M51+'Subassy 10'!M51+'Subassy 11'!M51+'Subassy 12'!M51)/K80</f>
        <v>#DIV/0!</v>
      </c>
      <c r="L82" s="177" t="e">
        <f>(L58+'Subassy 1'!L51+'Subassy 2'!L51+'Subassy 3'!L51+'Subassy 4'!L51+'Subassy 5'!L51+'Subassy 6'!L51+'Subassy 7'!L51+'Subassy 8'!L51+'Subassy 9'!L51+'Subassy 10'!L51+'Subassy 11'!L51+'Subassy 12'!L51)/L80</f>
        <v>#DIV/0!</v>
      </c>
      <c r="M82" s="177" t="e">
        <f>(M58+'Subassy 1'!M51+'Subassy 2'!M51+'Subassy 3'!M51+'Subassy 4'!M51+'Subassy 5'!M51+'Subassy 6'!M51+'Subassy 7'!M51+'Subassy 8'!M51+'Subassy 9'!M51+'Subassy 10'!M51+'Subassy 11'!M51+'Subassy 12'!M51)/M80</f>
        <v>#DIV/0!</v>
      </c>
    </row>
    <row r="83" spans="1:14" x14ac:dyDescent="0.25">
      <c r="F83" s="28"/>
      <c r="G83" s="28"/>
      <c r="H83" s="28"/>
      <c r="I83" s="28"/>
      <c r="J83" s="28"/>
      <c r="K83" s="28"/>
      <c r="L83" s="28"/>
      <c r="M83" s="28"/>
    </row>
    <row r="84" spans="1:14" x14ac:dyDescent="0.25">
      <c r="F84" s="28"/>
      <c r="G84" s="28"/>
      <c r="H84" s="28"/>
      <c r="I84" s="28"/>
      <c r="J84" s="28"/>
      <c r="K84" s="28"/>
      <c r="L84" s="28"/>
      <c r="M84" s="28"/>
    </row>
    <row r="85" spans="1:14" x14ac:dyDescent="0.25">
      <c r="F85" s="28"/>
      <c r="G85" s="28"/>
      <c r="H85" s="28"/>
      <c r="I85" s="28"/>
      <c r="J85" s="28"/>
      <c r="K85" s="28"/>
      <c r="L85" s="28"/>
      <c r="M85" s="28"/>
    </row>
    <row r="87" spans="1:14" ht="15.75" customHeight="1" x14ac:dyDescent="0.25"/>
    <row r="88" spans="1:14" hidden="1" x14ac:dyDescent="0.25"/>
    <row r="89" spans="1:14" ht="14.25" customHeight="1" x14ac:dyDescent="0.3">
      <c r="A89" s="106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</row>
    <row r="90" spans="1:14" x14ac:dyDescent="0.25">
      <c r="A90" s="192" t="s">
        <v>58</v>
      </c>
      <c r="B90" s="192"/>
      <c r="C90" s="192"/>
      <c r="D90" s="192"/>
      <c r="E90" s="192"/>
      <c r="F90" s="192"/>
      <c r="G90" s="192"/>
      <c r="H90" s="192"/>
      <c r="I90" s="192"/>
      <c r="J90" s="38"/>
      <c r="K90" s="38"/>
      <c r="L90" s="38"/>
      <c r="M90" s="38"/>
      <c r="N90" s="38"/>
    </row>
    <row r="91" spans="1:14" x14ac:dyDescent="0.25">
      <c r="A91" s="147" t="s">
        <v>56</v>
      </c>
      <c r="B91" s="148">
        <v>10</v>
      </c>
      <c r="C91" s="149">
        <v>25</v>
      </c>
      <c r="D91" s="150">
        <v>50</v>
      </c>
      <c r="E91" s="148">
        <v>100</v>
      </c>
      <c r="F91" s="149">
        <v>250</v>
      </c>
      <c r="G91" s="151">
        <v>500</v>
      </c>
      <c r="H91" s="149">
        <v>750</v>
      </c>
      <c r="I91" s="151">
        <v>1000</v>
      </c>
      <c r="J91" s="38"/>
      <c r="K91" s="38"/>
      <c r="L91" s="38"/>
      <c r="M91" s="38"/>
      <c r="N91" s="38"/>
    </row>
    <row r="92" spans="1:14" x14ac:dyDescent="0.25">
      <c r="A92" s="152">
        <f>'Subassy 1'!D63</f>
        <v>1</v>
      </c>
      <c r="B92" s="140">
        <f>'Subassy 1'!F63</f>
        <v>0</v>
      </c>
      <c r="C92" s="140">
        <f>'Subassy 1'!G63</f>
        <v>0</v>
      </c>
      <c r="D92" s="140">
        <f>'Subassy 1'!H63</f>
        <v>0</v>
      </c>
      <c r="E92" s="140">
        <f>'Subassy 1'!I63</f>
        <v>0</v>
      </c>
      <c r="F92" s="140">
        <f>'Subassy 1'!J63</f>
        <v>0</v>
      </c>
      <c r="G92" s="140">
        <f>'Subassy 1'!K63</f>
        <v>0</v>
      </c>
      <c r="H92" s="140">
        <f>'Subassy 1'!L63</f>
        <v>0</v>
      </c>
      <c r="I92" s="140">
        <f>'Subassy 1'!M63</f>
        <v>0</v>
      </c>
      <c r="J92" s="38"/>
      <c r="K92" s="38"/>
      <c r="L92" s="38"/>
      <c r="M92" s="38"/>
      <c r="N92" s="38"/>
    </row>
    <row r="93" spans="1:14" x14ac:dyDescent="0.25">
      <c r="A93" s="153">
        <f>'Subassy 2'!D63</f>
        <v>2</v>
      </c>
      <c r="B93" s="141">
        <f>'Subassy 2'!F63</f>
        <v>0</v>
      </c>
      <c r="C93" s="141">
        <f>'Subassy 2'!G63</f>
        <v>0</v>
      </c>
      <c r="D93" s="141">
        <f>'Subassy 2'!H63</f>
        <v>0</v>
      </c>
      <c r="E93" s="141">
        <f>'Subassy 2'!I63</f>
        <v>0</v>
      </c>
      <c r="F93" s="141">
        <f>'Subassy 2'!J63</f>
        <v>0</v>
      </c>
      <c r="G93" s="141">
        <f>'Subassy 2'!K63</f>
        <v>0</v>
      </c>
      <c r="H93" s="141">
        <f>'Subassy 2'!L63</f>
        <v>0</v>
      </c>
      <c r="I93" s="141">
        <f>'Subassy 2'!M63</f>
        <v>0</v>
      </c>
      <c r="J93" s="38"/>
      <c r="K93" s="38"/>
      <c r="L93" s="38"/>
      <c r="M93" s="38"/>
      <c r="N93" s="38"/>
    </row>
    <row r="94" spans="1:14" x14ac:dyDescent="0.25">
      <c r="A94" s="153">
        <f>'Subassy 3'!D63</f>
        <v>3</v>
      </c>
      <c r="B94" s="141">
        <f>'Subassy 3'!F63</f>
        <v>0</v>
      </c>
      <c r="C94" s="141">
        <f>'Subassy 3'!G63</f>
        <v>0</v>
      </c>
      <c r="D94" s="141">
        <f>'Subassy 3'!H63</f>
        <v>0</v>
      </c>
      <c r="E94" s="141">
        <f>'Subassy 3'!I63</f>
        <v>0</v>
      </c>
      <c r="F94" s="141">
        <f>'Subassy 3'!J63</f>
        <v>0</v>
      </c>
      <c r="G94" s="141">
        <f>'Subassy 3'!K63</f>
        <v>0</v>
      </c>
      <c r="H94" s="141">
        <f>'Subassy 3'!L63</f>
        <v>0</v>
      </c>
      <c r="I94" s="141">
        <f>'Subassy 3'!M63</f>
        <v>0</v>
      </c>
      <c r="J94" s="38"/>
      <c r="K94" s="38"/>
      <c r="L94" s="38"/>
      <c r="M94" s="38"/>
      <c r="N94" s="38"/>
    </row>
    <row r="95" spans="1:14" x14ac:dyDescent="0.25">
      <c r="A95" s="154">
        <f>'Subassy 4'!D63</f>
        <v>4</v>
      </c>
      <c r="B95" s="142">
        <f>'Subassy 4'!F63</f>
        <v>0</v>
      </c>
      <c r="C95" s="142">
        <f>'Subassy 4'!G63</f>
        <v>0</v>
      </c>
      <c r="D95" s="142">
        <f>'Subassy 4'!H63</f>
        <v>0</v>
      </c>
      <c r="E95" s="142">
        <f>'Subassy 4'!I63</f>
        <v>0</v>
      </c>
      <c r="F95" s="142">
        <f>'Subassy 4'!J63</f>
        <v>0</v>
      </c>
      <c r="G95" s="142">
        <f>'Subassy 4'!K63</f>
        <v>0</v>
      </c>
      <c r="H95" s="142">
        <f>'Subassy 4'!L63</f>
        <v>0</v>
      </c>
      <c r="I95" s="142">
        <f>'Subassy 4'!M63</f>
        <v>0</v>
      </c>
      <c r="J95" s="38"/>
      <c r="K95" s="38"/>
      <c r="L95" s="38"/>
      <c r="M95" s="38"/>
      <c r="N95" s="38"/>
    </row>
    <row r="96" spans="1:14" x14ac:dyDescent="0.25">
      <c r="A96" s="154">
        <f>'Subassy 5'!D63</f>
        <v>5</v>
      </c>
      <c r="B96" s="142">
        <f>'Subassy 5'!F63</f>
        <v>0</v>
      </c>
      <c r="C96" s="142">
        <f>'Subassy 5'!G63</f>
        <v>0</v>
      </c>
      <c r="D96" s="142">
        <f>'Subassy 5'!H63</f>
        <v>0</v>
      </c>
      <c r="E96" s="142">
        <f>'Subassy 5'!I63</f>
        <v>0</v>
      </c>
      <c r="F96" s="142">
        <f>'Subassy 5'!J63</f>
        <v>0</v>
      </c>
      <c r="G96" s="142">
        <f>'Subassy 5'!K63</f>
        <v>0</v>
      </c>
      <c r="H96" s="142">
        <f>'Subassy 5'!L63</f>
        <v>0</v>
      </c>
      <c r="I96" s="142">
        <f>'Subassy 5'!M63</f>
        <v>0</v>
      </c>
      <c r="J96" s="38"/>
      <c r="K96" s="38"/>
      <c r="L96" s="38"/>
      <c r="M96" s="38"/>
      <c r="N96" s="38"/>
    </row>
    <row r="97" spans="1:14" x14ac:dyDescent="0.25">
      <c r="A97" s="155">
        <f>'Subassy 6'!D63</f>
        <v>6</v>
      </c>
      <c r="B97" s="141">
        <f>'Subassy 6'!F63</f>
        <v>0</v>
      </c>
      <c r="C97" s="141">
        <f>'Subassy 6'!G63</f>
        <v>0</v>
      </c>
      <c r="D97" s="141">
        <f>'Subassy 6'!H63</f>
        <v>0</v>
      </c>
      <c r="E97" s="141">
        <f>'Subassy 6'!I63</f>
        <v>0</v>
      </c>
      <c r="F97" s="141">
        <f>'Subassy 6'!J63</f>
        <v>0</v>
      </c>
      <c r="G97" s="141">
        <f>'Subassy 6'!K63</f>
        <v>0</v>
      </c>
      <c r="H97" s="141">
        <f>'Subassy 6'!L63</f>
        <v>0</v>
      </c>
      <c r="I97" s="141">
        <f>'Subassy 6'!M63</f>
        <v>0</v>
      </c>
      <c r="J97" s="38"/>
      <c r="K97" s="38"/>
      <c r="L97" s="38"/>
      <c r="M97" s="38"/>
      <c r="N97" s="38"/>
    </row>
    <row r="98" spans="1:14" x14ac:dyDescent="0.25">
      <c r="A98" s="155">
        <f>'Subassy 7'!D63</f>
        <v>7</v>
      </c>
      <c r="B98" s="141">
        <f>'Subassy 7'!F63</f>
        <v>0</v>
      </c>
      <c r="C98" s="141">
        <f>'Subassy 7'!G63</f>
        <v>0</v>
      </c>
      <c r="D98" s="141">
        <f>'Subassy 7'!H63</f>
        <v>0</v>
      </c>
      <c r="E98" s="141">
        <f>'Subassy 7'!I63</f>
        <v>0</v>
      </c>
      <c r="F98" s="141">
        <f>'Subassy 7'!J63</f>
        <v>0</v>
      </c>
      <c r="G98" s="141">
        <f>'Subassy 7'!K63</f>
        <v>0</v>
      </c>
      <c r="H98" s="141">
        <f>'Subassy 7'!L63</f>
        <v>0</v>
      </c>
      <c r="I98" s="141">
        <f>'Subassy 7'!M63</f>
        <v>0</v>
      </c>
      <c r="J98" s="38"/>
      <c r="K98" s="38"/>
      <c r="L98" s="38"/>
      <c r="M98" s="38"/>
      <c r="N98" s="38"/>
    </row>
    <row r="99" spans="1:14" x14ac:dyDescent="0.25">
      <c r="A99" s="155">
        <f>'Subassy 8'!D63</f>
        <v>8</v>
      </c>
      <c r="B99" s="141">
        <f>'Subassy 8'!F$63</f>
        <v>0</v>
      </c>
      <c r="C99" s="141">
        <f>'Subassy 8'!G$63</f>
        <v>0</v>
      </c>
      <c r="D99" s="141">
        <f>'Subassy 8'!H$63</f>
        <v>0</v>
      </c>
      <c r="E99" s="141">
        <f>'Subassy 8'!I$63</f>
        <v>0</v>
      </c>
      <c r="F99" s="141">
        <f>'Subassy 8'!J$63</f>
        <v>0</v>
      </c>
      <c r="G99" s="141">
        <f>'Subassy 8'!K$63</f>
        <v>0</v>
      </c>
      <c r="H99" s="141">
        <f>'Subassy 8'!L$63</f>
        <v>0</v>
      </c>
      <c r="I99" s="141">
        <f>'Subassy 8'!M$63</f>
        <v>0</v>
      </c>
      <c r="J99" s="38"/>
      <c r="K99" s="38"/>
      <c r="L99" s="38"/>
      <c r="M99" s="38"/>
      <c r="N99" s="38"/>
    </row>
    <row r="100" spans="1:14" x14ac:dyDescent="0.25">
      <c r="A100" s="155">
        <f>'Subassy 9'!D63</f>
        <v>9</v>
      </c>
      <c r="B100" s="141">
        <f>'Subassy 9'!F$63</f>
        <v>0</v>
      </c>
      <c r="C100" s="141">
        <f>'Subassy 9'!G$63</f>
        <v>0</v>
      </c>
      <c r="D100" s="141">
        <f>'Subassy 9'!H$63</f>
        <v>0</v>
      </c>
      <c r="E100" s="141">
        <f>'Subassy 9'!I$63</f>
        <v>0</v>
      </c>
      <c r="F100" s="141">
        <f>'Subassy 9'!J$63</f>
        <v>0</v>
      </c>
      <c r="G100" s="141">
        <f>'Subassy 9'!K$63</f>
        <v>0</v>
      </c>
      <c r="H100" s="141">
        <f>'Subassy 9'!L$63</f>
        <v>0</v>
      </c>
      <c r="I100" s="141">
        <f>'Subassy 9'!M$63</f>
        <v>0</v>
      </c>
      <c r="J100" s="38"/>
      <c r="K100" s="38"/>
      <c r="L100" s="38"/>
      <c r="M100" s="38"/>
      <c r="N100" s="38"/>
    </row>
    <row r="101" spans="1:14" x14ac:dyDescent="0.25">
      <c r="A101" s="155">
        <f>'Subassy 10'!D63</f>
        <v>10</v>
      </c>
      <c r="B101" s="141">
        <f>'Subassy 10'!F$63</f>
        <v>0</v>
      </c>
      <c r="C101" s="141">
        <f>'Subassy 10'!G$63</f>
        <v>0</v>
      </c>
      <c r="D101" s="141">
        <f>'Subassy 10'!H$63</f>
        <v>0</v>
      </c>
      <c r="E101" s="141">
        <f>'Subassy 10'!I$63</f>
        <v>0</v>
      </c>
      <c r="F101" s="141">
        <f>'Subassy 10'!J$63</f>
        <v>0</v>
      </c>
      <c r="G101" s="141">
        <f>'Subassy 10'!K$63</f>
        <v>0</v>
      </c>
      <c r="H101" s="141">
        <f>'Subassy 10'!L$63</f>
        <v>0</v>
      </c>
      <c r="I101" s="141">
        <f>'Subassy 10'!M$63</f>
        <v>0</v>
      </c>
      <c r="J101" s="38"/>
      <c r="K101" s="38"/>
      <c r="L101" s="38"/>
      <c r="M101" s="38"/>
      <c r="N101" s="38"/>
    </row>
    <row r="102" spans="1:14" x14ac:dyDescent="0.25">
      <c r="A102" s="155">
        <f>'Subassy 11'!D63</f>
        <v>11</v>
      </c>
      <c r="B102" s="141">
        <f>'Subassy 11'!F$63</f>
        <v>0</v>
      </c>
      <c r="C102" s="141">
        <f>'Subassy 11'!G$63</f>
        <v>0</v>
      </c>
      <c r="D102" s="141">
        <f>'Subassy 11'!H$63</f>
        <v>0</v>
      </c>
      <c r="E102" s="141">
        <f>'Subassy 11'!I$63</f>
        <v>0</v>
      </c>
      <c r="F102" s="141">
        <f>'Subassy 11'!J$63</f>
        <v>0</v>
      </c>
      <c r="G102" s="141">
        <f>'Subassy 11'!K$63</f>
        <v>0</v>
      </c>
      <c r="H102" s="141">
        <f>'Subassy 11'!L$63</f>
        <v>0</v>
      </c>
      <c r="I102" s="141">
        <f>'Subassy 11'!M$63</f>
        <v>0</v>
      </c>
      <c r="J102" s="38"/>
      <c r="K102" s="38"/>
      <c r="L102" s="38"/>
      <c r="M102" s="38"/>
      <c r="N102" s="38"/>
    </row>
    <row r="103" spans="1:14" x14ac:dyDescent="0.25">
      <c r="A103" s="155">
        <f>'Subassy 12'!D63</f>
        <v>12</v>
      </c>
      <c r="B103" s="141">
        <f>'Subassy 12'!F$63</f>
        <v>0</v>
      </c>
      <c r="C103" s="141">
        <f>'Subassy 12'!G$63</f>
        <v>0</v>
      </c>
      <c r="D103" s="141">
        <f>'Subassy 12'!H$63</f>
        <v>0</v>
      </c>
      <c r="E103" s="141">
        <f>'Subassy 12'!I$63</f>
        <v>0</v>
      </c>
      <c r="F103" s="141">
        <f>'Subassy 12'!J$63</f>
        <v>0</v>
      </c>
      <c r="G103" s="141">
        <f>'Subassy 12'!K$63</f>
        <v>0</v>
      </c>
      <c r="H103" s="141">
        <f>'Subassy 12'!L$63</f>
        <v>0</v>
      </c>
      <c r="I103" s="141">
        <f>'Subassy 12'!M$63</f>
        <v>0</v>
      </c>
      <c r="J103" s="38"/>
      <c r="K103" s="38"/>
      <c r="L103" s="38"/>
      <c r="M103" s="38"/>
      <c r="N103" s="38"/>
    </row>
    <row r="104" spans="1:14" x14ac:dyDescent="0.25">
      <c r="A104" s="143" t="s">
        <v>55</v>
      </c>
      <c r="B104" s="145">
        <f t="shared" ref="B104:G104" si="69">SUM(B92:B97)</f>
        <v>0</v>
      </c>
      <c r="C104" s="145">
        <f t="shared" si="69"/>
        <v>0</v>
      </c>
      <c r="D104" s="144">
        <f t="shared" si="69"/>
        <v>0</v>
      </c>
      <c r="E104" s="145">
        <f t="shared" si="69"/>
        <v>0</v>
      </c>
      <c r="F104" s="144">
        <f t="shared" si="69"/>
        <v>0</v>
      </c>
      <c r="G104" s="145">
        <f t="shared" si="69"/>
        <v>0</v>
      </c>
      <c r="H104" s="144">
        <f t="shared" ref="H104:I104" si="70">SUM(H92:H97)</f>
        <v>0</v>
      </c>
      <c r="I104" s="145">
        <f t="shared" si="70"/>
        <v>0</v>
      </c>
      <c r="J104" s="38"/>
      <c r="K104" s="38"/>
      <c r="L104" s="38"/>
      <c r="M104" s="38"/>
      <c r="N104" s="38"/>
    </row>
    <row r="105" spans="1:14" x14ac:dyDescent="0.25">
      <c r="A105" s="156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4" x14ac:dyDescent="0.25">
      <c r="A106" s="147" t="s">
        <v>57</v>
      </c>
      <c r="B106" s="148">
        <v>10</v>
      </c>
      <c r="C106" s="149">
        <v>25</v>
      </c>
      <c r="D106" s="150">
        <v>50</v>
      </c>
      <c r="E106" s="148">
        <v>100</v>
      </c>
      <c r="F106" s="149">
        <v>250</v>
      </c>
      <c r="G106" s="151">
        <v>500</v>
      </c>
      <c r="H106" s="149">
        <v>750</v>
      </c>
      <c r="I106" s="151">
        <v>1000</v>
      </c>
      <c r="J106" s="9"/>
      <c r="K106" s="9"/>
      <c r="L106" s="9"/>
      <c r="M106" s="9"/>
      <c r="N106" s="9"/>
    </row>
    <row r="107" spans="1:14" x14ac:dyDescent="0.25">
      <c r="A107" s="152">
        <f>'Subassy 1'!D63</f>
        <v>1</v>
      </c>
      <c r="B107" s="140">
        <f>'Subassy 1'!F30</f>
        <v>0</v>
      </c>
      <c r="C107" s="140">
        <f>'Subassy 1'!G30</f>
        <v>0</v>
      </c>
      <c r="D107" s="140">
        <f>'Subassy 1'!H30</f>
        <v>0</v>
      </c>
      <c r="E107" s="140">
        <f>'Subassy 1'!I30</f>
        <v>0</v>
      </c>
      <c r="F107" s="140">
        <f>'Subassy 1'!L30</f>
        <v>0</v>
      </c>
      <c r="G107" s="140">
        <f>'Subassy 1'!M30</f>
        <v>0</v>
      </c>
      <c r="H107" s="140">
        <f>'Subassy 1'!N30</f>
        <v>0</v>
      </c>
      <c r="I107" s="140">
        <f>'Subassy 1'!O30</f>
        <v>0</v>
      </c>
      <c r="J107" s="48"/>
      <c r="K107" s="48"/>
      <c r="L107" s="48"/>
      <c r="M107" s="48"/>
      <c r="N107" s="48"/>
    </row>
    <row r="108" spans="1:14" x14ac:dyDescent="0.25">
      <c r="A108" s="153">
        <f>'Subassy 2'!D63</f>
        <v>2</v>
      </c>
      <c r="B108" s="146">
        <f>'Subassy 2'!F30</f>
        <v>0</v>
      </c>
      <c r="C108" s="146">
        <f>'Subassy 2'!G30</f>
        <v>0</v>
      </c>
      <c r="D108" s="146">
        <f>'Subassy 2'!H30</f>
        <v>0</v>
      </c>
      <c r="E108" s="146">
        <f>'Subassy 2'!K30</f>
        <v>0</v>
      </c>
      <c r="F108" s="146">
        <f>'Subassy 2'!L30</f>
        <v>0</v>
      </c>
      <c r="G108" s="146">
        <f>'Subassy 2'!M30</f>
        <v>0</v>
      </c>
      <c r="H108" s="146">
        <f>'Subassy 2'!N30</f>
        <v>0</v>
      </c>
      <c r="I108" s="146">
        <f>'Subassy 2'!O30</f>
        <v>0</v>
      </c>
      <c r="J108" s="9"/>
      <c r="K108" s="9"/>
      <c r="L108" s="9"/>
      <c r="M108" s="9"/>
      <c r="N108" s="9"/>
    </row>
    <row r="109" spans="1:14" x14ac:dyDescent="0.25">
      <c r="A109" s="153">
        <f>'Subassy 3'!D63</f>
        <v>3</v>
      </c>
      <c r="B109" s="141">
        <f>'Subassy 3'!F30</f>
        <v>0</v>
      </c>
      <c r="C109" s="141">
        <f>'Subassy 3'!G30</f>
        <v>0</v>
      </c>
      <c r="D109" s="141">
        <f>'Subassy 3'!H30</f>
        <v>0</v>
      </c>
      <c r="E109" s="141">
        <f>'Subassy 3'!K30</f>
        <v>0</v>
      </c>
      <c r="F109" s="141">
        <f>'Subassy 3'!L30</f>
        <v>0</v>
      </c>
      <c r="G109" s="141">
        <f>'Subassy 3'!M30</f>
        <v>0</v>
      </c>
      <c r="H109" s="141">
        <f>'Subassy 3'!N30</f>
        <v>0</v>
      </c>
      <c r="I109" s="141">
        <f>'Subassy 3'!O30</f>
        <v>0</v>
      </c>
      <c r="J109" s="20"/>
      <c r="K109" s="20"/>
      <c r="L109" s="20"/>
      <c r="M109" s="20"/>
      <c r="N109" s="20"/>
    </row>
    <row r="110" spans="1:14" x14ac:dyDescent="0.25">
      <c r="A110" s="154">
        <f>'Subassy 4'!D63</f>
        <v>4</v>
      </c>
      <c r="B110" s="146">
        <f>'Subassy 4'!F30</f>
        <v>0</v>
      </c>
      <c r="C110" s="146">
        <f>'Subassy 4'!G30</f>
        <v>0</v>
      </c>
      <c r="D110" s="146">
        <f>'Subassy 4'!H30</f>
        <v>0</v>
      </c>
      <c r="E110" s="146">
        <f>'Subassy 4'!I30</f>
        <v>0</v>
      </c>
      <c r="F110" s="146">
        <f>'Subassy 4'!L30</f>
        <v>0</v>
      </c>
      <c r="G110" s="146">
        <f>'Subassy 4'!M30</f>
        <v>0</v>
      </c>
      <c r="H110" s="146">
        <f>'Subassy 4'!N30</f>
        <v>0</v>
      </c>
      <c r="I110" s="146">
        <f>'Subassy 4'!O30</f>
        <v>0</v>
      </c>
      <c r="J110" s="20"/>
      <c r="K110" s="20"/>
      <c r="L110" s="20"/>
      <c r="M110" s="20"/>
      <c r="N110" s="20"/>
    </row>
    <row r="111" spans="1:14" x14ac:dyDescent="0.25">
      <c r="A111" s="155">
        <f>'Subassy 5'!D63</f>
        <v>5</v>
      </c>
      <c r="B111" s="141">
        <f>'Subassy 5'!F30</f>
        <v>0</v>
      </c>
      <c r="C111" s="141">
        <f>'Subassy 5'!G30</f>
        <v>0</v>
      </c>
      <c r="D111" s="141">
        <f>'Subassy 5'!H30</f>
        <v>0</v>
      </c>
      <c r="E111" s="141">
        <f>'Subassy 5'!I30</f>
        <v>0</v>
      </c>
      <c r="F111" s="141">
        <f>'Subassy 5'!L30</f>
        <v>0</v>
      </c>
      <c r="G111" s="141">
        <f>'Subassy 5'!M30</f>
        <v>0</v>
      </c>
      <c r="H111" s="141">
        <f>'Subassy 5'!N30</f>
        <v>0</v>
      </c>
      <c r="I111" s="141">
        <f>'Subassy 5'!O30</f>
        <v>0</v>
      </c>
      <c r="J111" s="20"/>
      <c r="K111" s="20"/>
      <c r="L111" s="20"/>
      <c r="M111" s="20"/>
      <c r="N111" s="20"/>
    </row>
    <row r="112" spans="1:14" x14ac:dyDescent="0.25">
      <c r="A112" s="155">
        <f>'Subassy 6'!D63</f>
        <v>6</v>
      </c>
      <c r="B112" s="141">
        <f>'Subassy 6'!F30</f>
        <v>0</v>
      </c>
      <c r="C112" s="141">
        <f>'Subassy 6'!G30</f>
        <v>0</v>
      </c>
      <c r="D112" s="141">
        <f>'Subassy 6'!H30</f>
        <v>0</v>
      </c>
      <c r="E112" s="141">
        <f>'Subassy 6'!I30</f>
        <v>0</v>
      </c>
      <c r="F112" s="141">
        <f>'Subassy 6'!L30</f>
        <v>0</v>
      </c>
      <c r="G112" s="141">
        <f>'Subassy 6'!M30</f>
        <v>0</v>
      </c>
      <c r="H112" s="141">
        <f>'Subassy 6'!N30</f>
        <v>0</v>
      </c>
      <c r="I112" s="141">
        <f>'Subassy 6'!O30</f>
        <v>0</v>
      </c>
      <c r="J112" s="20"/>
      <c r="K112" s="20"/>
      <c r="L112" s="20"/>
      <c r="M112" s="20"/>
      <c r="N112" s="20"/>
    </row>
    <row r="113" spans="1:14" x14ac:dyDescent="0.25">
      <c r="A113" s="155">
        <f>'Subassy 7'!D63</f>
        <v>7</v>
      </c>
      <c r="B113" s="141">
        <f>'Subassy 7'!F30</f>
        <v>0</v>
      </c>
      <c r="C113" s="141">
        <f>'Subassy 7'!G30</f>
        <v>0</v>
      </c>
      <c r="D113" s="141">
        <f>'Subassy 7'!H30</f>
        <v>0</v>
      </c>
      <c r="E113" s="141">
        <f>'Subassy 7'!I30</f>
        <v>0</v>
      </c>
      <c r="F113" s="141">
        <f>'Subassy 7'!L30</f>
        <v>0</v>
      </c>
      <c r="G113" s="141">
        <f>'Subassy 7'!M30</f>
        <v>0</v>
      </c>
      <c r="H113" s="141">
        <f>'Subassy 7'!N30</f>
        <v>0</v>
      </c>
      <c r="I113" s="141">
        <f>'Subassy 7'!O30</f>
        <v>0</v>
      </c>
      <c r="J113" s="20"/>
      <c r="K113" s="20"/>
      <c r="L113" s="20"/>
      <c r="M113" s="20"/>
      <c r="N113" s="20"/>
    </row>
    <row r="114" spans="1:14" x14ac:dyDescent="0.25">
      <c r="A114" s="155">
        <f>'Subassy 8'!$D$63</f>
        <v>8</v>
      </c>
      <c r="B114" s="141">
        <f>'Subassy 8'!F$30</f>
        <v>0</v>
      </c>
      <c r="C114" s="141">
        <f>'Subassy 8'!G30</f>
        <v>0</v>
      </c>
      <c r="D114" s="141">
        <f>'Subassy 8'!H30</f>
        <v>0</v>
      </c>
      <c r="E114" s="141">
        <f>'Subassy 8'!I30</f>
        <v>0</v>
      </c>
      <c r="F114" s="141">
        <f>'Subassy 8'!L30</f>
        <v>0</v>
      </c>
      <c r="G114" s="141">
        <f>'Subassy 8'!M30</f>
        <v>0</v>
      </c>
      <c r="H114" s="141">
        <f>'Subassy 8'!N30</f>
        <v>0</v>
      </c>
      <c r="I114" s="141">
        <f>'Subassy 8'!O30</f>
        <v>0</v>
      </c>
      <c r="J114" s="20"/>
      <c r="K114" s="20"/>
      <c r="L114" s="20"/>
      <c r="M114" s="20"/>
      <c r="N114" s="20"/>
    </row>
    <row r="115" spans="1:14" x14ac:dyDescent="0.25">
      <c r="A115" s="155">
        <f>'Subassy 9'!$D$63</f>
        <v>9</v>
      </c>
      <c r="B115" s="141">
        <f>'Subassy 9'!F$30</f>
        <v>0</v>
      </c>
      <c r="C115" s="141">
        <f>'Subassy 9'!G$30</f>
        <v>0</v>
      </c>
      <c r="D115" s="141">
        <f>'Subassy 9'!H$30</f>
        <v>0</v>
      </c>
      <c r="E115" s="141">
        <f>'Subassy 9'!I$30</f>
        <v>0</v>
      </c>
      <c r="F115" s="141">
        <f>'Subassy 9'!L$30</f>
        <v>0</v>
      </c>
      <c r="G115" s="141">
        <f>'Subassy 9'!M$30</f>
        <v>0</v>
      </c>
      <c r="H115" s="141">
        <f>'Subassy 9'!N$30</f>
        <v>0</v>
      </c>
      <c r="I115" s="141">
        <f>'Subassy 9'!O$30</f>
        <v>0</v>
      </c>
      <c r="J115" s="20"/>
      <c r="K115" s="20"/>
      <c r="L115" s="20"/>
      <c r="M115" s="20"/>
      <c r="N115" s="20"/>
    </row>
    <row r="116" spans="1:14" x14ac:dyDescent="0.25">
      <c r="A116" s="155">
        <f>'Subassy 10'!$D$63</f>
        <v>10</v>
      </c>
      <c r="B116" s="141">
        <f>'Subassy 10'!F$30</f>
        <v>0</v>
      </c>
      <c r="C116" s="141">
        <f>'Subassy 10'!G$30</f>
        <v>0</v>
      </c>
      <c r="D116" s="141">
        <f>'Subassy 10'!H$30</f>
        <v>0</v>
      </c>
      <c r="E116" s="141">
        <f>'Subassy 10'!I$30</f>
        <v>0</v>
      </c>
      <c r="F116" s="141">
        <f>'Subassy 10'!L$30</f>
        <v>0</v>
      </c>
      <c r="G116" s="141">
        <f>'Subassy 10'!M$30</f>
        <v>0</v>
      </c>
      <c r="H116" s="141">
        <f>'Subassy 10'!N$30</f>
        <v>0</v>
      </c>
      <c r="I116" s="141">
        <f>'Subassy 10'!O$30</f>
        <v>0</v>
      </c>
      <c r="J116" s="20"/>
      <c r="K116" s="20"/>
      <c r="L116" s="20"/>
      <c r="M116" s="20"/>
      <c r="N116" s="20"/>
    </row>
    <row r="117" spans="1:14" x14ac:dyDescent="0.25">
      <c r="A117" s="155">
        <f>'Subassy 11'!$D$63</f>
        <v>11</v>
      </c>
      <c r="B117" s="141">
        <f>'Subassy 11'!F$30</f>
        <v>0</v>
      </c>
      <c r="C117" s="141">
        <f>'Subassy 11'!G$30</f>
        <v>0</v>
      </c>
      <c r="D117" s="141">
        <f>'Subassy 11'!H$30</f>
        <v>0</v>
      </c>
      <c r="E117" s="141">
        <f>'Subassy 11'!I$30</f>
        <v>0</v>
      </c>
      <c r="F117" s="141">
        <f>'Subassy 11'!L$30</f>
        <v>0</v>
      </c>
      <c r="G117" s="141">
        <f>'Subassy 11'!M$30</f>
        <v>0</v>
      </c>
      <c r="H117" s="141">
        <f>'Subassy 11'!N$30</f>
        <v>0</v>
      </c>
      <c r="I117" s="141">
        <f>'Subassy 11'!O$30</f>
        <v>0</v>
      </c>
      <c r="J117" s="20"/>
      <c r="K117" s="20"/>
      <c r="L117" s="20"/>
      <c r="M117" s="20"/>
      <c r="N117" s="20"/>
    </row>
    <row r="118" spans="1:14" x14ac:dyDescent="0.25">
      <c r="A118" s="155">
        <f>'Subassy 12'!$D$63</f>
        <v>12</v>
      </c>
      <c r="B118" s="141">
        <f>'Subassy 12'!F$30</f>
        <v>0</v>
      </c>
      <c r="C118" s="141">
        <f>'Subassy 12'!G$30</f>
        <v>0</v>
      </c>
      <c r="D118" s="141">
        <f>'Subassy 12'!H$30</f>
        <v>0</v>
      </c>
      <c r="E118" s="141">
        <f>'Subassy 12'!I$30</f>
        <v>0</v>
      </c>
      <c r="F118" s="141">
        <f>'Subassy 12'!L$30</f>
        <v>0</v>
      </c>
      <c r="G118" s="141">
        <f>'Subassy 12'!M$30</f>
        <v>0</v>
      </c>
      <c r="H118" s="141">
        <f>'Subassy 12'!N$30</f>
        <v>0</v>
      </c>
      <c r="I118" s="141">
        <f>'Subassy 12'!O$30</f>
        <v>0</v>
      </c>
      <c r="J118" s="20"/>
      <c r="K118" s="20"/>
      <c r="L118" s="20"/>
      <c r="M118" s="20"/>
      <c r="N118" s="20"/>
    </row>
    <row r="119" spans="1:14" x14ac:dyDescent="0.25">
      <c r="A119" s="143" t="s">
        <v>55</v>
      </c>
      <c r="B119" s="145">
        <f>SUM(B107:B111)</f>
        <v>0</v>
      </c>
      <c r="C119" s="145">
        <f t="shared" ref="C119:G119" si="71">SUM(C107:C111)</f>
        <v>0</v>
      </c>
      <c r="D119" s="145">
        <f t="shared" si="71"/>
        <v>0</v>
      </c>
      <c r="E119" s="145">
        <f t="shared" si="71"/>
        <v>0</v>
      </c>
      <c r="F119" s="145">
        <f t="shared" si="71"/>
        <v>0</v>
      </c>
      <c r="G119" s="145">
        <f t="shared" si="71"/>
        <v>0</v>
      </c>
      <c r="H119" s="145">
        <f t="shared" ref="H119:I119" si="72">SUM(H107:H111)</f>
        <v>0</v>
      </c>
      <c r="I119" s="145">
        <f t="shared" si="72"/>
        <v>0</v>
      </c>
      <c r="J119" s="20"/>
      <c r="K119" s="20"/>
      <c r="L119" s="20"/>
      <c r="M119" s="20"/>
      <c r="N119" s="20"/>
    </row>
    <row r="120" spans="1:14" x14ac:dyDescent="0.25">
      <c r="A120" s="38"/>
      <c r="B120" s="38"/>
      <c r="C120" s="38"/>
      <c r="D120" s="38"/>
      <c r="E120" s="20"/>
      <c r="F120" s="20"/>
      <c r="G120" s="20"/>
      <c r="H120" s="20"/>
      <c r="I120" s="20"/>
      <c r="J120" s="20"/>
      <c r="K120" s="20"/>
      <c r="L120" s="20"/>
      <c r="M120" s="20"/>
      <c r="N120" s="20"/>
    </row>
    <row r="121" spans="1:14" x14ac:dyDescent="0.25">
      <c r="A121" s="38"/>
      <c r="B121" s="38"/>
      <c r="C121" s="38"/>
      <c r="D121" s="38"/>
      <c r="E121" s="20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A122" s="162" t="s">
        <v>70</v>
      </c>
      <c r="C122" s="38"/>
      <c r="D122" s="38"/>
      <c r="E122" s="20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C123" s="38"/>
      <c r="D123" s="38"/>
      <c r="E123" s="20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A124" t="s">
        <v>71</v>
      </c>
      <c r="B124" s="173">
        <f>Year-2019</f>
        <v>7</v>
      </c>
      <c r="C124" s="38"/>
      <c r="D124" s="38"/>
      <c r="E124" s="20"/>
      <c r="F124" s="20"/>
      <c r="G124" s="20"/>
      <c r="H124" s="20"/>
      <c r="I124" s="20"/>
      <c r="J124" s="20"/>
      <c r="K124" s="20"/>
      <c r="L124" s="20"/>
      <c r="M124" s="20"/>
      <c r="N124" s="20"/>
    </row>
    <row r="125" spans="1:14" x14ac:dyDescent="0.25">
      <c r="A125" s="107"/>
      <c r="B125" s="174" t="s">
        <v>119</v>
      </c>
      <c r="C125" s="38"/>
      <c r="D125" s="38"/>
      <c r="E125" s="20"/>
      <c r="F125" s="20"/>
      <c r="G125" s="20"/>
      <c r="H125" s="20"/>
      <c r="I125" s="20"/>
      <c r="J125" s="20"/>
      <c r="K125" s="20"/>
      <c r="L125" s="20"/>
      <c r="M125" s="20"/>
      <c r="N125" s="20"/>
    </row>
    <row r="126" spans="1:14" x14ac:dyDescent="0.25">
      <c r="A126" s="107"/>
      <c r="B126" s="152">
        <v>2024</v>
      </c>
      <c r="C126" s="38"/>
      <c r="D126" s="38"/>
      <c r="E126" s="20"/>
      <c r="F126" s="20"/>
      <c r="G126" s="20"/>
      <c r="H126" s="20"/>
      <c r="I126" s="20"/>
      <c r="J126" s="20"/>
      <c r="K126" s="20"/>
      <c r="L126" s="20"/>
      <c r="M126" s="20"/>
      <c r="N126" s="20"/>
    </row>
    <row r="127" spans="1:14" x14ac:dyDescent="0.25">
      <c r="A127" s="107"/>
      <c r="B127" s="174" t="s">
        <v>120</v>
      </c>
      <c r="C127" s="9"/>
      <c r="D127" s="9"/>
      <c r="E127" s="107"/>
      <c r="F127" s="22"/>
      <c r="G127" s="22"/>
      <c r="H127" s="22"/>
      <c r="I127" s="22"/>
      <c r="J127" s="22"/>
      <c r="K127" s="22"/>
      <c r="L127" s="22"/>
      <c r="M127" s="22"/>
      <c r="N127" s="22"/>
    </row>
    <row r="128" spans="1:14" x14ac:dyDescent="0.25">
      <c r="A128" s="107"/>
      <c r="B128" s="174" t="s">
        <v>121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25">
      <c r="A129" s="107"/>
      <c r="B129" s="152">
        <v>2027</v>
      </c>
      <c r="C129" s="112"/>
      <c r="D129" s="112"/>
      <c r="E129" s="112"/>
    </row>
    <row r="130" spans="1:14" x14ac:dyDescent="0.25">
      <c r="A130" s="107"/>
      <c r="B130" s="174" t="s">
        <v>122</v>
      </c>
      <c r="C130" s="34"/>
      <c r="D130" s="34"/>
      <c r="E130" s="34"/>
      <c r="F130" s="113"/>
      <c r="G130" s="113"/>
      <c r="H130" s="113"/>
      <c r="I130" s="113"/>
      <c r="J130" s="113"/>
      <c r="K130" s="113"/>
      <c r="L130" s="113"/>
      <c r="M130" s="113"/>
      <c r="N130" s="113"/>
    </row>
    <row r="131" spans="1:14" x14ac:dyDescent="0.25">
      <c r="A131" s="34"/>
      <c r="B131" s="174" t="s">
        <v>123</v>
      </c>
      <c r="C131" s="34"/>
      <c r="D131" s="34"/>
      <c r="E131" s="34"/>
      <c r="F131" s="113"/>
      <c r="G131" s="113"/>
      <c r="H131" s="113"/>
      <c r="I131" s="113"/>
      <c r="J131" s="113"/>
      <c r="K131" s="113"/>
      <c r="L131" s="113"/>
      <c r="M131" s="113"/>
      <c r="N131" s="113"/>
    </row>
    <row r="132" spans="1:14" x14ac:dyDescent="0.25">
      <c r="A132" s="34"/>
      <c r="B132" s="152">
        <v>2030</v>
      </c>
      <c r="C132" s="34"/>
      <c r="D132" s="34"/>
      <c r="E132" s="34"/>
      <c r="F132" s="113"/>
      <c r="G132" s="113"/>
      <c r="H132" s="113"/>
      <c r="I132" s="113"/>
      <c r="J132" s="113"/>
      <c r="K132" s="113"/>
      <c r="L132" s="113"/>
      <c r="M132" s="113"/>
      <c r="N132" s="113"/>
    </row>
    <row r="133" spans="1:14" x14ac:dyDescent="0.25">
      <c r="A133" s="34"/>
      <c r="B133" s="152">
        <v>2031</v>
      </c>
      <c r="C133" s="34"/>
      <c r="D133" s="34"/>
      <c r="E133" s="34"/>
      <c r="F133" s="113"/>
      <c r="G133" s="113"/>
      <c r="H133" s="113"/>
      <c r="I133" s="113"/>
      <c r="J133" s="113"/>
      <c r="K133" s="113"/>
      <c r="L133" s="113"/>
      <c r="M133" s="113"/>
      <c r="N133" s="113"/>
    </row>
    <row r="134" spans="1:14" x14ac:dyDescent="0.25">
      <c r="A134" s="34"/>
      <c r="B134" s="152">
        <v>2032</v>
      </c>
      <c r="C134" s="34"/>
      <c r="D134" s="34"/>
      <c r="E134" s="34"/>
      <c r="F134" s="113"/>
      <c r="G134" s="113"/>
      <c r="H134" s="113"/>
      <c r="I134" s="113"/>
      <c r="J134" s="113"/>
      <c r="K134" s="113"/>
      <c r="L134" s="113"/>
      <c r="M134" s="113"/>
      <c r="N134" s="113"/>
    </row>
    <row r="135" spans="1:14" x14ac:dyDescent="0.25">
      <c r="A135" s="126" t="s">
        <v>72</v>
      </c>
      <c r="B135" s="152">
        <v>2033</v>
      </c>
      <c r="C135" s="34"/>
      <c r="D135" s="34"/>
      <c r="E135" s="34"/>
      <c r="F135" s="113"/>
      <c r="G135" s="113"/>
      <c r="H135" s="113"/>
      <c r="I135" s="113"/>
      <c r="J135" s="113"/>
      <c r="K135" s="113"/>
      <c r="L135" s="113"/>
      <c r="M135" s="113"/>
      <c r="N135" s="113"/>
    </row>
    <row r="136" spans="1:14" x14ac:dyDescent="0.25">
      <c r="A136" s="126" t="s">
        <v>73</v>
      </c>
      <c r="B136" s="152">
        <v>2034</v>
      </c>
      <c r="C136" s="34"/>
      <c r="D136" s="34"/>
      <c r="E136" s="34"/>
      <c r="F136" s="113"/>
      <c r="G136" s="113"/>
      <c r="H136" s="113"/>
      <c r="I136" s="113"/>
      <c r="J136" s="113"/>
      <c r="K136" s="113"/>
      <c r="L136" s="113"/>
      <c r="M136" s="113"/>
      <c r="N136" s="113"/>
    </row>
    <row r="137" spans="1:14" x14ac:dyDescent="0.25">
      <c r="A137" s="126" t="s">
        <v>74</v>
      </c>
      <c r="B137" s="152">
        <v>2035</v>
      </c>
      <c r="C137" s="34"/>
      <c r="D137" s="34"/>
      <c r="E137" s="34"/>
      <c r="F137" s="113"/>
      <c r="G137" s="113"/>
      <c r="H137" s="113"/>
      <c r="I137" s="113"/>
      <c r="J137" s="113"/>
      <c r="K137" s="113"/>
      <c r="L137" s="113"/>
      <c r="M137" s="113"/>
      <c r="N137" s="113"/>
    </row>
    <row r="138" spans="1:14" x14ac:dyDescent="0.25">
      <c r="A138" s="126" t="s">
        <v>75</v>
      </c>
      <c r="B138" s="152">
        <v>2036</v>
      </c>
      <c r="C138" s="34"/>
      <c r="D138" s="34"/>
      <c r="E138" s="34"/>
      <c r="F138" s="113"/>
      <c r="G138" s="113"/>
      <c r="H138" s="113"/>
      <c r="I138" s="113"/>
      <c r="J138" s="113"/>
      <c r="K138" s="113"/>
      <c r="L138" s="113"/>
      <c r="M138" s="113"/>
      <c r="N138" s="113"/>
    </row>
    <row r="139" spans="1:14" x14ac:dyDescent="0.25">
      <c r="A139" s="126" t="s">
        <v>76</v>
      </c>
      <c r="B139" s="152">
        <v>2037</v>
      </c>
      <c r="C139" s="34"/>
      <c r="D139" s="34"/>
      <c r="E139" s="34"/>
      <c r="F139" s="113"/>
      <c r="G139" s="113"/>
      <c r="H139" s="113"/>
      <c r="I139" s="113"/>
      <c r="J139" s="113"/>
      <c r="K139" s="113"/>
      <c r="L139" s="113"/>
      <c r="M139" s="113"/>
      <c r="N139" s="113"/>
    </row>
    <row r="140" spans="1:14" x14ac:dyDescent="0.25">
      <c r="A140" s="126" t="s">
        <v>77</v>
      </c>
      <c r="B140" s="152"/>
      <c r="C140" s="34"/>
      <c r="D140" s="34"/>
      <c r="E140" s="34"/>
      <c r="F140" s="113"/>
      <c r="G140" s="113"/>
      <c r="H140" s="113"/>
      <c r="I140" s="113"/>
      <c r="J140" s="113"/>
      <c r="K140" s="113"/>
      <c r="L140" s="113"/>
      <c r="M140" s="113"/>
      <c r="N140" s="113"/>
    </row>
    <row r="141" spans="1:14" x14ac:dyDescent="0.25">
      <c r="A141" s="126" t="s">
        <v>78</v>
      </c>
      <c r="B141" s="34"/>
      <c r="C141" s="34"/>
      <c r="D141" s="34"/>
      <c r="E141" s="34"/>
      <c r="F141" s="113"/>
      <c r="G141" s="113"/>
      <c r="H141" s="113"/>
      <c r="I141" s="113"/>
      <c r="J141" s="113"/>
      <c r="K141" s="113"/>
      <c r="L141" s="113"/>
      <c r="M141" s="113"/>
      <c r="N141" s="113"/>
    </row>
    <row r="142" spans="1:14" x14ac:dyDescent="0.25">
      <c r="A142" s="126" t="s">
        <v>79</v>
      </c>
      <c r="B142" s="34"/>
      <c r="C142" s="34"/>
      <c r="D142" s="34"/>
      <c r="E142" s="34"/>
      <c r="F142" s="113"/>
      <c r="G142" s="113"/>
      <c r="H142" s="113"/>
      <c r="I142" s="113"/>
      <c r="J142" s="113"/>
      <c r="K142" s="113"/>
      <c r="L142" s="113"/>
      <c r="M142" s="113"/>
      <c r="N142" s="113"/>
    </row>
    <row r="143" spans="1:14" x14ac:dyDescent="0.25">
      <c r="A143" s="126" t="s">
        <v>92</v>
      </c>
      <c r="B143" s="34"/>
      <c r="C143" s="34"/>
      <c r="D143" s="34"/>
      <c r="E143" s="34"/>
      <c r="F143" s="113"/>
      <c r="G143" s="113"/>
      <c r="H143" s="113"/>
      <c r="I143" s="113"/>
      <c r="J143" s="113"/>
      <c r="K143" s="113"/>
      <c r="L143" s="113"/>
      <c r="M143" s="113"/>
      <c r="N143" s="113"/>
    </row>
    <row r="144" spans="1:14" x14ac:dyDescent="0.25">
      <c r="A144" s="126" t="s">
        <v>93</v>
      </c>
      <c r="B144" s="34"/>
      <c r="C144" s="34"/>
      <c r="D144" s="34"/>
      <c r="E144" s="34"/>
      <c r="F144" s="113"/>
      <c r="G144" s="113"/>
      <c r="H144" s="113"/>
      <c r="I144" s="113"/>
      <c r="J144" s="113"/>
      <c r="K144" s="113"/>
      <c r="L144" s="113"/>
      <c r="M144" s="113"/>
      <c r="N144" s="113"/>
    </row>
    <row r="145" spans="1:14" x14ac:dyDescent="0.25">
      <c r="A145" s="126" t="s">
        <v>52</v>
      </c>
      <c r="B145" s="34"/>
      <c r="C145" s="34"/>
      <c r="D145" s="34"/>
      <c r="E145" s="34"/>
      <c r="F145" s="113"/>
      <c r="G145" s="113"/>
      <c r="H145" s="113"/>
      <c r="I145" s="113"/>
      <c r="J145" s="113"/>
      <c r="K145" s="113"/>
      <c r="L145" s="113"/>
      <c r="M145" s="113"/>
      <c r="N145" s="113"/>
    </row>
    <row r="146" spans="1:14" x14ac:dyDescent="0.25">
      <c r="A146" s="184" t="s">
        <v>80</v>
      </c>
      <c r="B146" s="34"/>
      <c r="C146" s="34"/>
      <c r="D146" s="34"/>
      <c r="E146" s="34"/>
      <c r="F146" s="113"/>
      <c r="G146" s="113"/>
      <c r="H146" s="113"/>
      <c r="I146" s="113"/>
      <c r="J146" s="113"/>
      <c r="K146" s="113"/>
      <c r="L146" s="113"/>
      <c r="M146" s="113"/>
      <c r="N146" s="113"/>
    </row>
    <row r="147" spans="1:14" x14ac:dyDescent="0.25">
      <c r="A147" s="187" t="s">
        <v>81</v>
      </c>
      <c r="B147" s="34"/>
      <c r="C147" s="34"/>
      <c r="D147" s="34"/>
      <c r="E147" s="34"/>
      <c r="F147" s="113"/>
      <c r="G147" s="113"/>
      <c r="H147" s="113"/>
      <c r="I147" s="113"/>
      <c r="J147" s="113"/>
      <c r="K147" s="113"/>
      <c r="L147" s="113"/>
      <c r="M147" s="113"/>
      <c r="N147" s="113"/>
    </row>
    <row r="148" spans="1:14" x14ac:dyDescent="0.25">
      <c r="A148" s="31" t="s">
        <v>94</v>
      </c>
      <c r="F148" s="28"/>
      <c r="G148" s="28"/>
      <c r="H148" s="28"/>
      <c r="I148" s="28"/>
      <c r="J148" s="28"/>
      <c r="K148" s="28"/>
      <c r="L148" s="28"/>
      <c r="M148" s="28"/>
      <c r="N148" s="20"/>
    </row>
    <row r="149" spans="1:14" x14ac:dyDescent="0.25">
      <c r="A149" s="31" t="s">
        <v>95</v>
      </c>
      <c r="F149" s="28"/>
      <c r="G149" s="28"/>
      <c r="H149" s="28"/>
      <c r="I149" s="28"/>
      <c r="J149" s="28"/>
      <c r="K149" s="28"/>
      <c r="L149" s="28"/>
      <c r="M149" s="28"/>
      <c r="N149" s="20"/>
    </row>
    <row r="150" spans="1:14" x14ac:dyDescent="0.25">
      <c r="A150" s="31" t="s">
        <v>96</v>
      </c>
      <c r="B150" s="162"/>
      <c r="C150" s="162"/>
      <c r="D150" s="162"/>
      <c r="E150" s="162"/>
      <c r="F150" s="28"/>
      <c r="G150" s="28"/>
      <c r="H150" s="28"/>
      <c r="I150" s="28"/>
      <c r="J150" s="28"/>
      <c r="K150" s="28"/>
      <c r="L150" s="28"/>
      <c r="M150" s="28"/>
      <c r="N150" s="114"/>
    </row>
    <row r="151" spans="1:14" x14ac:dyDescent="0.25">
      <c r="A151" s="31" t="s">
        <v>97</v>
      </c>
      <c r="F151" s="20"/>
      <c r="G151" s="20"/>
      <c r="H151" s="20"/>
      <c r="I151" s="20"/>
      <c r="J151" s="20"/>
      <c r="K151" s="20"/>
      <c r="L151" s="20"/>
      <c r="M151" s="20"/>
      <c r="N151" s="20"/>
    </row>
    <row r="152" spans="1:14" x14ac:dyDescent="0.25">
      <c r="A152" s="31" t="s">
        <v>98</v>
      </c>
      <c r="B152" s="29"/>
      <c r="E152" s="68"/>
      <c r="F152" s="20"/>
      <c r="G152" s="20"/>
      <c r="H152" s="20"/>
      <c r="I152" s="20"/>
      <c r="J152" s="20"/>
      <c r="K152" s="20"/>
      <c r="L152" s="20"/>
      <c r="M152" s="20"/>
      <c r="N152" s="20"/>
    </row>
    <row r="153" spans="1:14" x14ac:dyDescent="0.25">
      <c r="A153" s="31" t="s">
        <v>99</v>
      </c>
      <c r="B153" s="29"/>
      <c r="E153" s="68"/>
      <c r="F153" s="20"/>
      <c r="G153" s="20"/>
      <c r="H153" s="20"/>
      <c r="I153" s="20"/>
      <c r="J153" s="20"/>
      <c r="K153" s="20"/>
      <c r="L153" s="20"/>
      <c r="M153" s="20"/>
      <c r="N153" s="20"/>
    </row>
    <row r="154" spans="1:14" x14ac:dyDescent="0.25">
      <c r="A154" s="31" t="s">
        <v>100</v>
      </c>
      <c r="B154" s="29"/>
      <c r="E154" s="68"/>
      <c r="F154" s="20"/>
      <c r="G154" s="20"/>
      <c r="H154" s="20"/>
      <c r="I154" s="20"/>
      <c r="J154" s="20"/>
      <c r="K154" s="20"/>
      <c r="L154" s="20"/>
      <c r="M154" s="20"/>
      <c r="N154" s="20"/>
    </row>
    <row r="155" spans="1:14" x14ac:dyDescent="0.25">
      <c r="A155" s="31" t="s">
        <v>101</v>
      </c>
      <c r="E155" s="138"/>
      <c r="F155" s="28"/>
      <c r="G155" s="28"/>
      <c r="H155" s="28"/>
      <c r="I155" s="28"/>
      <c r="J155" s="28"/>
      <c r="K155" s="28"/>
      <c r="L155" s="28"/>
      <c r="M155" s="28"/>
      <c r="N155" s="28"/>
    </row>
    <row r="156" spans="1:14" x14ac:dyDescent="0.25">
      <c r="A156" s="31" t="s">
        <v>102</v>
      </c>
      <c r="D156" s="163"/>
      <c r="E156" s="163"/>
      <c r="F156" s="20"/>
      <c r="G156" s="20"/>
      <c r="H156" s="20"/>
      <c r="I156" s="20"/>
      <c r="J156" s="20"/>
      <c r="K156" s="20"/>
      <c r="L156" s="20"/>
      <c r="M156" s="20"/>
      <c r="N156" s="28"/>
    </row>
    <row r="157" spans="1:14" ht="15.75" x14ac:dyDescent="0.25">
      <c r="A157" s="31" t="s">
        <v>103</v>
      </c>
      <c r="D157" s="162"/>
      <c r="E157" s="162"/>
      <c r="F157" s="161"/>
      <c r="G157" s="161"/>
      <c r="H157" s="161"/>
      <c r="I157" s="161"/>
      <c r="J157" s="161"/>
      <c r="K157" s="161"/>
      <c r="L157" s="161"/>
      <c r="M157" s="161"/>
      <c r="N157" s="28"/>
    </row>
    <row r="158" spans="1:14" x14ac:dyDescent="0.25">
      <c r="A158" s="31" t="s">
        <v>104</v>
      </c>
    </row>
    <row r="159" spans="1:14" x14ac:dyDescent="0.25">
      <c r="A159" s="184" t="s">
        <v>105</v>
      </c>
    </row>
    <row r="160" spans="1:14" x14ac:dyDescent="0.25">
      <c r="A160" s="184" t="s">
        <v>106</v>
      </c>
    </row>
    <row r="161" spans="1:1" x14ac:dyDescent="0.25">
      <c r="A161" s="184" t="s">
        <v>107</v>
      </c>
    </row>
    <row r="162" spans="1:1" x14ac:dyDescent="0.25">
      <c r="A162" s="184" t="s">
        <v>108</v>
      </c>
    </row>
    <row r="163" spans="1:1" x14ac:dyDescent="0.25">
      <c r="A163" s="184" t="s">
        <v>109</v>
      </c>
    </row>
    <row r="164" spans="1:1" x14ac:dyDescent="0.25">
      <c r="A164" s="184" t="s">
        <v>110</v>
      </c>
    </row>
    <row r="165" spans="1:1" x14ac:dyDescent="0.25">
      <c r="A165" s="184" t="s">
        <v>111</v>
      </c>
    </row>
    <row r="166" spans="1:1" x14ac:dyDescent="0.25">
      <c r="A166" s="184" t="s">
        <v>112</v>
      </c>
    </row>
    <row r="167" spans="1:1" x14ac:dyDescent="0.25">
      <c r="A167" s="184" t="s">
        <v>113</v>
      </c>
    </row>
    <row r="168" spans="1:1" x14ac:dyDescent="0.25">
      <c r="A168" s="184" t="s">
        <v>114</v>
      </c>
    </row>
    <row r="169" spans="1:1" x14ac:dyDescent="0.25">
      <c r="A169" s="184" t="s">
        <v>115</v>
      </c>
    </row>
    <row r="170" spans="1:1" x14ac:dyDescent="0.25">
      <c r="A170" s="184" t="s">
        <v>114</v>
      </c>
    </row>
    <row r="171" spans="1:1" x14ac:dyDescent="0.25">
      <c r="A171" s="184" t="s">
        <v>115</v>
      </c>
    </row>
    <row r="172" spans="1:1" x14ac:dyDescent="0.25">
      <c r="A172" s="3" t="s">
        <v>116</v>
      </c>
    </row>
    <row r="173" spans="1:1" x14ac:dyDescent="0.25">
      <c r="A173" s="184" t="s">
        <v>117</v>
      </c>
    </row>
    <row r="174" spans="1:1" x14ac:dyDescent="0.25">
      <c r="A174" s="184" t="s">
        <v>118</v>
      </c>
    </row>
  </sheetData>
  <sheetProtection formatCells="0" formatColumns="0" formatRows="0" insertColumns="0" insertRows="0" insertHyperlinks="0" deleteColumns="0" deleteRows="0"/>
  <mergeCells count="22">
    <mergeCell ref="D82:E82"/>
    <mergeCell ref="Q69:S69"/>
    <mergeCell ref="F5:N5"/>
    <mergeCell ref="F6:N10"/>
    <mergeCell ref="D77:E77"/>
    <mergeCell ref="B79:D79"/>
    <mergeCell ref="A90:I90"/>
    <mergeCell ref="B2:C2"/>
    <mergeCell ref="B58:E58"/>
    <mergeCell ref="B59:E59"/>
    <mergeCell ref="B60:E60"/>
    <mergeCell ref="D71:E71"/>
    <mergeCell ref="B3:C3"/>
    <mergeCell ref="B6:D6"/>
    <mergeCell ref="D80:E80"/>
    <mergeCell ref="D75:E75"/>
    <mergeCell ref="D76:E76"/>
    <mergeCell ref="D72:E72"/>
    <mergeCell ref="D74:E74"/>
    <mergeCell ref="D78:E78"/>
    <mergeCell ref="C73:E73"/>
    <mergeCell ref="D81:E81"/>
  </mergeCells>
  <phoneticPr fontId="9" type="noConversion"/>
  <conditionalFormatting sqref="F79:M79">
    <cfRule type="cellIs" dxfId="0" priority="1" operator="greaterThan">
      <formula>0</formula>
    </cfRule>
  </conditionalFormatting>
  <dataValidations count="2">
    <dataValidation type="list" errorStyle="warning" allowBlank="1" showInputMessage="1" showErrorMessage="1" errorTitle="Invalid Year" error="Please input a year between 2023 and 2029.  This determines the labor rates, burden, and G&amp;A being used._x000a_" promptTitle="Input year" prompt="Please input a year between 2023 and 2037.  This determines the labor rates, burden, and G&amp;A being used._x000a_" sqref="B9" xr:uid="{A47EA5D1-1127-4AEB-832C-50CA1ACEB536}">
      <formula1>$B$125:$B$139</formula1>
    </dataValidation>
    <dataValidation type="list" allowBlank="1" showInputMessage="1" showErrorMessage="1" sqref="A14:A25" xr:uid="{3F7D4572-B352-475D-8C2B-962F27D5692B}">
      <formula1>$A$135:$A$174</formula1>
    </dataValidation>
  </dataValidations>
  <printOptions horizontalCentered="1"/>
  <pageMargins left="0.25" right="0.25" top="0.75" bottom="0.75" header="0.3" footer="0.3"/>
  <pageSetup scale="5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5" r:id="rId5" name="Check Box 11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45</xdr:row>
                    <xdr:rowOff>9525</xdr:rowOff>
                  </from>
                  <to>
                    <xdr:col>3</xdr:col>
                    <xdr:colOff>9525</xdr:colOff>
                    <xdr:row>46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6" name="Check Box 12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46</xdr:row>
                    <xdr:rowOff>9525</xdr:rowOff>
                  </from>
                  <to>
                    <xdr:col>3</xdr:col>
                    <xdr:colOff>9525</xdr:colOff>
                    <xdr:row>47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Check Box 13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47</xdr:row>
                    <xdr:rowOff>9525</xdr:rowOff>
                  </from>
                  <to>
                    <xdr:col>3</xdr:col>
                    <xdr:colOff>9525</xdr:colOff>
                    <xdr:row>48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Check Box 14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50</xdr:row>
                    <xdr:rowOff>9525</xdr:rowOff>
                  </from>
                  <to>
                    <xdr:col>3</xdr:col>
                    <xdr:colOff>9525</xdr:colOff>
                    <xdr:row>51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9" name="Check Box 15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51</xdr:row>
                    <xdr:rowOff>9525</xdr:rowOff>
                  </from>
                  <to>
                    <xdr:col>3</xdr:col>
                    <xdr:colOff>0</xdr:colOff>
                    <xdr:row>52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0" name="Check Box 16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52</xdr:row>
                    <xdr:rowOff>9525</xdr:rowOff>
                  </from>
                  <to>
                    <xdr:col>3</xdr:col>
                    <xdr:colOff>9525</xdr:colOff>
                    <xdr:row>53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Check Box 17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53</xdr:row>
                    <xdr:rowOff>9525</xdr:rowOff>
                  </from>
                  <to>
                    <xdr:col>3</xdr:col>
                    <xdr:colOff>0</xdr:colOff>
                    <xdr:row>54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2" name="Check Box 18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56</xdr:row>
                    <xdr:rowOff>9525</xdr:rowOff>
                  </from>
                  <to>
                    <xdr:col>3</xdr:col>
                    <xdr:colOff>9525</xdr:colOff>
                    <xdr:row>57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13" name="Check Box 2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13</xdr:col>
                    <xdr:colOff>723900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Check Box 23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13</xdr:col>
                    <xdr:colOff>723900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15" name="Check Box 25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180975</xdr:rowOff>
                  </from>
                  <to>
                    <xdr:col>13</xdr:col>
                    <xdr:colOff>723900</xdr:colOff>
                    <xdr:row>35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6" name="Check Box 26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13</xdr:col>
                    <xdr:colOff>714375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17" name="Check Box 28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180975</xdr:rowOff>
                  </from>
                  <to>
                    <xdr:col>13</xdr:col>
                    <xdr:colOff>714375</xdr:colOff>
                    <xdr:row>37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18" name="Check Box 29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180975</xdr:rowOff>
                  </from>
                  <to>
                    <xdr:col>13</xdr:col>
                    <xdr:colOff>714375</xdr:colOff>
                    <xdr:row>38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19" name="Check Box 3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13</xdr:col>
                    <xdr:colOff>704850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20" name="Check Box 3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13</xdr:col>
                    <xdr:colOff>704850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21" name="Check Box 32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13</xdr:col>
                    <xdr:colOff>704850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2" name="Check Box 34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190500</xdr:rowOff>
                  </from>
                  <to>
                    <xdr:col>13</xdr:col>
                    <xdr:colOff>704850</xdr:colOff>
                    <xdr:row>42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3" name="Check Box 36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13</xdr:col>
                    <xdr:colOff>704850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4" name="Check Box 37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9525</xdr:rowOff>
                  </from>
                  <to>
                    <xdr:col>13</xdr:col>
                    <xdr:colOff>704850</xdr:colOff>
                    <xdr:row>44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5" name="Check Box 38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48</xdr:row>
                    <xdr:rowOff>9525</xdr:rowOff>
                  </from>
                  <to>
                    <xdr:col>3</xdr:col>
                    <xdr:colOff>9525</xdr:colOff>
                    <xdr:row>49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6" name="Check Box 39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49</xdr:row>
                    <xdr:rowOff>9525</xdr:rowOff>
                  </from>
                  <to>
                    <xdr:col>3</xdr:col>
                    <xdr:colOff>9525</xdr:colOff>
                    <xdr:row>50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7" name="Check Box 40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54</xdr:row>
                    <xdr:rowOff>9525</xdr:rowOff>
                  </from>
                  <to>
                    <xdr:col>3</xdr:col>
                    <xdr:colOff>0</xdr:colOff>
                    <xdr:row>55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28" name="Check Box 41">
              <controlPr defaultSize="0" autoFill="0" autoLine="0" autoPict="0" altText="Subassembly?_x000a_">
                <anchor moveWithCells="1">
                  <from>
                    <xdr:col>2</xdr:col>
                    <xdr:colOff>19050</xdr:colOff>
                    <xdr:row>55</xdr:row>
                    <xdr:rowOff>9525</xdr:rowOff>
                  </from>
                  <to>
                    <xdr:col>3</xdr:col>
                    <xdr:colOff>0</xdr:colOff>
                    <xdr:row>56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9"/>
      <c r="G1" s="9"/>
      <c r="H1" s="9"/>
      <c r="I1" s="9"/>
      <c r="J1" s="9"/>
      <c r="K1" s="9"/>
      <c r="L1" s="9"/>
      <c r="M1" s="9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1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1">SUM(F16:F25)</f>
        <v>0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ref="J26:K26" si="2">SUM(J16:J25)</f>
        <v>0</v>
      </c>
      <c r="K26" s="17">
        <f t="shared" si="2"/>
        <v>0</v>
      </c>
      <c r="L26" s="17">
        <f t="shared" si="1"/>
        <v>0</v>
      </c>
      <c r="M26" s="17">
        <f t="shared" si="1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3">(($B$28/F13)+$C$28)/60</f>
        <v>0</v>
      </c>
      <c r="G27" s="20">
        <f t="shared" si="3"/>
        <v>0</v>
      </c>
      <c r="H27" s="20">
        <f t="shared" si="3"/>
        <v>0</v>
      </c>
      <c r="I27" s="20">
        <f t="shared" si="3"/>
        <v>0</v>
      </c>
      <c r="J27" s="20">
        <f t="shared" ref="J27:K27" si="4">(($B$28/J13)+$C$28)/60</f>
        <v>0</v>
      </c>
      <c r="K27" s="20">
        <f t="shared" si="4"/>
        <v>0</v>
      </c>
      <c r="L27" s="20">
        <f t="shared" si="3"/>
        <v>0</v>
      </c>
      <c r="M27" s="20">
        <f t="shared" si="3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5">G26*$D$28</f>
        <v>0</v>
      </c>
      <c r="H28" s="20">
        <f t="shared" si="5"/>
        <v>0</v>
      </c>
      <c r="I28" s="20">
        <f t="shared" si="5"/>
        <v>0</v>
      </c>
      <c r="J28" s="20">
        <f t="shared" ref="J28:K28" si="6">J26*$D$28</f>
        <v>0</v>
      </c>
      <c r="K28" s="20">
        <f t="shared" si="6"/>
        <v>0</v>
      </c>
      <c r="L28" s="20">
        <f t="shared" si="5"/>
        <v>0</v>
      </c>
      <c r="M28" s="20">
        <f t="shared" si="5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 t="shared" ref="F30:M30" si="7">F26+F28</f>
        <v>0</v>
      </c>
      <c r="G30" s="22">
        <f t="shared" si="7"/>
        <v>0</v>
      </c>
      <c r="H30" s="22">
        <f t="shared" si="7"/>
        <v>0</v>
      </c>
      <c r="I30" s="22">
        <f t="shared" si="7"/>
        <v>0</v>
      </c>
      <c r="J30" s="22">
        <f t="shared" ref="J30:K30" si="8">J26+J28</f>
        <v>0</v>
      </c>
      <c r="K30" s="22">
        <f t="shared" si="8"/>
        <v>0</v>
      </c>
      <c r="L30" s="22">
        <f t="shared" si="7"/>
        <v>0</v>
      </c>
      <c r="M30" s="22">
        <f t="shared" si="7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9">"Qty: "&amp; F13</f>
        <v>Qty: 10</v>
      </c>
      <c r="G32" s="93" t="str">
        <f t="shared" si="9"/>
        <v>Qty: 25</v>
      </c>
      <c r="H32" s="93" t="str">
        <f t="shared" si="9"/>
        <v>Qty: 50</v>
      </c>
      <c r="I32" s="93" t="str">
        <f t="shared" si="9"/>
        <v>Qty: 75</v>
      </c>
      <c r="J32" s="93" t="str">
        <f t="shared" ref="J32:K32" si="10">"Qty: "&amp; J13</f>
        <v>Qty: 100</v>
      </c>
      <c r="K32" s="93" t="str">
        <f t="shared" si="10"/>
        <v>Qty: 250</v>
      </c>
      <c r="L32" s="93" t="str">
        <f t="shared" si="9"/>
        <v>Qty: 500</v>
      </c>
      <c r="M32" s="94" t="str">
        <f t="shared" si="9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11">C33*D33</f>
        <v>0</v>
      </c>
      <c r="F33" s="35">
        <f>IF($N33=TRUE,$E33/F$13,$E33*(1+(1/F$13)))</f>
        <v>0</v>
      </c>
      <c r="G33" s="35">
        <f t="shared" ref="G33:M44" si="12">IF($N33=TRUE,$E33/G$13,$E33*(1+(1/G$13)))</f>
        <v>0</v>
      </c>
      <c r="H33" s="35">
        <f t="shared" si="12"/>
        <v>0</v>
      </c>
      <c r="I33" s="35">
        <f t="shared" si="12"/>
        <v>0</v>
      </c>
      <c r="J33" s="35">
        <f t="shared" si="12"/>
        <v>0</v>
      </c>
      <c r="K33" s="35">
        <f t="shared" si="12"/>
        <v>0</v>
      </c>
      <c r="L33" s="35">
        <f t="shared" si="12"/>
        <v>0</v>
      </c>
      <c r="M33" s="35">
        <f t="shared" si="12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11"/>
        <v>0</v>
      </c>
      <c r="F34" s="35">
        <f t="shared" ref="F34:F44" si="13">IF($N34=TRUE,$E34/F$13,$E34*(1+(1/F$13)))</f>
        <v>0</v>
      </c>
      <c r="G34" s="35">
        <f t="shared" si="12"/>
        <v>0</v>
      </c>
      <c r="H34" s="35">
        <f t="shared" si="12"/>
        <v>0</v>
      </c>
      <c r="I34" s="35">
        <f t="shared" si="12"/>
        <v>0</v>
      </c>
      <c r="J34" s="35">
        <f t="shared" si="12"/>
        <v>0</v>
      </c>
      <c r="K34" s="35">
        <f t="shared" si="12"/>
        <v>0</v>
      </c>
      <c r="L34" s="35">
        <f t="shared" si="12"/>
        <v>0</v>
      </c>
      <c r="M34" s="35">
        <f t="shared" si="12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11"/>
        <v>0</v>
      </c>
      <c r="F35" s="35">
        <f t="shared" si="13"/>
        <v>0</v>
      </c>
      <c r="G35" s="35">
        <f t="shared" si="12"/>
        <v>0</v>
      </c>
      <c r="H35" s="35">
        <f t="shared" si="12"/>
        <v>0</v>
      </c>
      <c r="I35" s="35">
        <f t="shared" si="12"/>
        <v>0</v>
      </c>
      <c r="J35" s="35">
        <f t="shared" si="12"/>
        <v>0</v>
      </c>
      <c r="K35" s="35">
        <f t="shared" si="12"/>
        <v>0</v>
      </c>
      <c r="L35" s="35">
        <f t="shared" si="12"/>
        <v>0</v>
      </c>
      <c r="M35" s="35">
        <f t="shared" si="12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11"/>
        <v>0</v>
      </c>
      <c r="F36" s="35">
        <f t="shared" si="13"/>
        <v>0</v>
      </c>
      <c r="G36" s="35">
        <f t="shared" si="12"/>
        <v>0</v>
      </c>
      <c r="H36" s="35">
        <f t="shared" si="12"/>
        <v>0</v>
      </c>
      <c r="I36" s="35">
        <f t="shared" si="12"/>
        <v>0</v>
      </c>
      <c r="J36" s="35">
        <f t="shared" si="12"/>
        <v>0</v>
      </c>
      <c r="K36" s="35">
        <f t="shared" si="12"/>
        <v>0</v>
      </c>
      <c r="L36" s="35">
        <f t="shared" si="12"/>
        <v>0</v>
      </c>
      <c r="M36" s="35">
        <f t="shared" si="12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11"/>
        <v>0</v>
      </c>
      <c r="F37" s="35">
        <f t="shared" si="13"/>
        <v>0</v>
      </c>
      <c r="G37" s="35">
        <f t="shared" si="12"/>
        <v>0</v>
      </c>
      <c r="H37" s="35">
        <f t="shared" si="12"/>
        <v>0</v>
      </c>
      <c r="I37" s="35">
        <f t="shared" si="12"/>
        <v>0</v>
      </c>
      <c r="J37" s="35">
        <f t="shared" si="12"/>
        <v>0</v>
      </c>
      <c r="K37" s="35">
        <f t="shared" si="12"/>
        <v>0</v>
      </c>
      <c r="L37" s="35">
        <f t="shared" si="12"/>
        <v>0</v>
      </c>
      <c r="M37" s="35">
        <f t="shared" si="12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11"/>
        <v>0</v>
      </c>
      <c r="F38" s="35">
        <f t="shared" si="13"/>
        <v>0</v>
      </c>
      <c r="G38" s="35">
        <f t="shared" si="12"/>
        <v>0</v>
      </c>
      <c r="H38" s="35">
        <f t="shared" si="12"/>
        <v>0</v>
      </c>
      <c r="I38" s="35">
        <f t="shared" si="12"/>
        <v>0</v>
      </c>
      <c r="J38" s="35">
        <f t="shared" si="12"/>
        <v>0</v>
      </c>
      <c r="K38" s="35">
        <f t="shared" si="12"/>
        <v>0</v>
      </c>
      <c r="L38" s="35">
        <f t="shared" si="12"/>
        <v>0</v>
      </c>
      <c r="M38" s="35">
        <f t="shared" si="12"/>
        <v>0</v>
      </c>
      <c r="N38" s="160" t="b">
        <v>0</v>
      </c>
      <c r="O38" s="34"/>
      <c r="P38" s="34"/>
      <c r="Q38" s="34"/>
      <c r="R38" s="34"/>
      <c r="S38" s="34">
        <f>I13</f>
        <v>75</v>
      </c>
      <c r="T38" s="124">
        <f>I63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11"/>
        <v>0</v>
      </c>
      <c r="F39" s="35">
        <f t="shared" si="13"/>
        <v>0</v>
      </c>
      <c r="G39" s="35">
        <f t="shared" si="12"/>
        <v>0</v>
      </c>
      <c r="H39" s="35">
        <f t="shared" si="12"/>
        <v>0</v>
      </c>
      <c r="I39" s="35">
        <f t="shared" si="12"/>
        <v>0</v>
      </c>
      <c r="J39" s="35">
        <f t="shared" si="12"/>
        <v>0</v>
      </c>
      <c r="K39" s="35">
        <f t="shared" si="12"/>
        <v>0</v>
      </c>
      <c r="L39" s="35">
        <f t="shared" si="12"/>
        <v>0</v>
      </c>
      <c r="M39" s="35">
        <f t="shared" si="12"/>
        <v>0</v>
      </c>
      <c r="N39" s="159"/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11"/>
        <v>0</v>
      </c>
      <c r="F40" s="35">
        <f t="shared" si="13"/>
        <v>0</v>
      </c>
      <c r="G40" s="35">
        <f t="shared" si="12"/>
        <v>0</v>
      </c>
      <c r="H40" s="35">
        <f t="shared" si="12"/>
        <v>0</v>
      </c>
      <c r="I40" s="35">
        <f t="shared" si="12"/>
        <v>0</v>
      </c>
      <c r="J40" s="35">
        <f t="shared" si="12"/>
        <v>0</v>
      </c>
      <c r="K40" s="35">
        <f t="shared" si="12"/>
        <v>0</v>
      </c>
      <c r="L40" s="35">
        <f t="shared" si="12"/>
        <v>0</v>
      </c>
      <c r="M40" s="35">
        <f t="shared" si="12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11"/>
        <v>0</v>
      </c>
      <c r="F41" s="35">
        <f t="shared" si="13"/>
        <v>0</v>
      </c>
      <c r="G41" s="35">
        <f t="shared" si="12"/>
        <v>0</v>
      </c>
      <c r="H41" s="35">
        <f t="shared" si="12"/>
        <v>0</v>
      </c>
      <c r="I41" s="35">
        <f t="shared" si="12"/>
        <v>0</v>
      </c>
      <c r="J41" s="35">
        <f t="shared" si="12"/>
        <v>0</v>
      </c>
      <c r="K41" s="35">
        <f t="shared" si="12"/>
        <v>0</v>
      </c>
      <c r="L41" s="35">
        <f t="shared" si="12"/>
        <v>0</v>
      </c>
      <c r="M41" s="35">
        <f t="shared" si="12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11"/>
        <v>0</v>
      </c>
      <c r="F42" s="35">
        <f t="shared" si="13"/>
        <v>0</v>
      </c>
      <c r="G42" s="35">
        <f t="shared" si="12"/>
        <v>0</v>
      </c>
      <c r="H42" s="35">
        <f t="shared" si="12"/>
        <v>0</v>
      </c>
      <c r="I42" s="35">
        <f t="shared" si="12"/>
        <v>0</v>
      </c>
      <c r="J42" s="35">
        <f t="shared" si="12"/>
        <v>0</v>
      </c>
      <c r="K42" s="35">
        <f t="shared" si="12"/>
        <v>0</v>
      </c>
      <c r="L42" s="35">
        <f t="shared" si="12"/>
        <v>0</v>
      </c>
      <c r="M42" s="35">
        <f t="shared" si="12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11"/>
        <v>0</v>
      </c>
      <c r="F43" s="35">
        <f t="shared" si="13"/>
        <v>0</v>
      </c>
      <c r="G43" s="35">
        <f t="shared" si="12"/>
        <v>0</v>
      </c>
      <c r="H43" s="35">
        <f t="shared" si="12"/>
        <v>0</v>
      </c>
      <c r="I43" s="35">
        <f t="shared" si="12"/>
        <v>0</v>
      </c>
      <c r="J43" s="35">
        <f t="shared" si="12"/>
        <v>0</v>
      </c>
      <c r="K43" s="35">
        <f t="shared" si="12"/>
        <v>0</v>
      </c>
      <c r="L43" s="35">
        <f t="shared" si="12"/>
        <v>0</v>
      </c>
      <c r="M43" s="35">
        <f t="shared" si="12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11"/>
        <v>0</v>
      </c>
      <c r="F44" s="35">
        <f t="shared" si="13"/>
        <v>0</v>
      </c>
      <c r="G44" s="35">
        <f t="shared" si="12"/>
        <v>0</v>
      </c>
      <c r="H44" s="35">
        <f t="shared" si="12"/>
        <v>0</v>
      </c>
      <c r="I44" s="35">
        <f t="shared" si="12"/>
        <v>0</v>
      </c>
      <c r="J44" s="35">
        <f t="shared" si="12"/>
        <v>0</v>
      </c>
      <c r="K44" s="35">
        <f t="shared" si="12"/>
        <v>0</v>
      </c>
      <c r="L44" s="35">
        <f t="shared" si="12"/>
        <v>0</v>
      </c>
      <c r="M44" s="35">
        <f t="shared" si="12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14">($D46/G$13)+$E46</f>
        <v>0</v>
      </c>
      <c r="H46" s="35">
        <f t="shared" si="14"/>
        <v>0</v>
      </c>
      <c r="I46" s="35">
        <f>($D46/I$13)+$E46</f>
        <v>0</v>
      </c>
      <c r="J46" s="35">
        <f t="shared" ref="J46:K46" si="15">($D46/J$13)+$E46</f>
        <v>0</v>
      </c>
      <c r="K46" s="35">
        <f t="shared" si="15"/>
        <v>0</v>
      </c>
      <c r="L46" s="35">
        <f>($D46/L$13)+$E46</f>
        <v>0</v>
      </c>
      <c r="M46" s="35">
        <f>($D46/M$13)+$E46</f>
        <v>0</v>
      </c>
      <c r="N46" s="35"/>
      <c r="O46" s="34"/>
      <c r="P46" s="188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14"/>
        <v>0</v>
      </c>
      <c r="H47" s="35">
        <f t="shared" si="14"/>
        <v>0</v>
      </c>
      <c r="I47" s="35">
        <f t="shared" si="14"/>
        <v>0</v>
      </c>
      <c r="J47" s="35">
        <f t="shared" si="14"/>
        <v>0</v>
      </c>
      <c r="K47" s="35">
        <f t="shared" si="14"/>
        <v>0</v>
      </c>
      <c r="L47" s="35">
        <f t="shared" si="14"/>
        <v>0</v>
      </c>
      <c r="M47" s="35">
        <f t="shared" si="14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6">($D48/F$13)+$E48</f>
        <v>0</v>
      </c>
      <c r="G48" s="35">
        <f t="shared" si="14"/>
        <v>0</v>
      </c>
      <c r="H48" s="35">
        <f t="shared" si="14"/>
        <v>0</v>
      </c>
      <c r="I48" s="35">
        <f t="shared" si="14"/>
        <v>0</v>
      </c>
      <c r="J48" s="35">
        <f t="shared" si="14"/>
        <v>0</v>
      </c>
      <c r="K48" s="35">
        <f t="shared" si="14"/>
        <v>0</v>
      </c>
      <c r="L48" s="35">
        <f t="shared" si="14"/>
        <v>0</v>
      </c>
      <c r="M48" s="35">
        <f t="shared" si="14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6"/>
        <v>0</v>
      </c>
      <c r="G49" s="35">
        <f t="shared" si="14"/>
        <v>0</v>
      </c>
      <c r="H49" s="35">
        <f t="shared" si="14"/>
        <v>0</v>
      </c>
      <c r="I49" s="35">
        <f t="shared" si="14"/>
        <v>0</v>
      </c>
      <c r="J49" s="35">
        <f t="shared" si="14"/>
        <v>0</v>
      </c>
      <c r="K49" s="35">
        <f t="shared" si="14"/>
        <v>0</v>
      </c>
      <c r="L49" s="35">
        <f t="shared" si="14"/>
        <v>0</v>
      </c>
      <c r="M49" s="35">
        <f t="shared" si="14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6"/>
        <v>0</v>
      </c>
      <c r="G50" s="35">
        <f t="shared" si="14"/>
        <v>0</v>
      </c>
      <c r="H50" s="35">
        <f t="shared" si="14"/>
        <v>0</v>
      </c>
      <c r="I50" s="35">
        <f t="shared" si="14"/>
        <v>0</v>
      </c>
      <c r="J50" s="35">
        <f t="shared" si="14"/>
        <v>0</v>
      </c>
      <c r="K50" s="35">
        <f t="shared" si="14"/>
        <v>0</v>
      </c>
      <c r="L50" s="35">
        <f t="shared" si="14"/>
        <v>0</v>
      </c>
      <c r="M50" s="35">
        <f t="shared" si="14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 t="shared" ref="F51:M51" si="17">SUM(F33:F44)</f>
        <v>0</v>
      </c>
      <c r="G51" s="63">
        <f t="shared" si="17"/>
        <v>0</v>
      </c>
      <c r="H51" s="63">
        <f t="shared" si="17"/>
        <v>0</v>
      </c>
      <c r="I51" s="63">
        <f t="shared" si="17"/>
        <v>0</v>
      </c>
      <c r="J51" s="63">
        <f t="shared" ref="J51:K51" si="18">SUM(J33:J44)</f>
        <v>0</v>
      </c>
      <c r="K51" s="63">
        <f t="shared" si="18"/>
        <v>0</v>
      </c>
      <c r="L51" s="63">
        <f t="shared" si="17"/>
        <v>0</v>
      </c>
      <c r="M51" s="63">
        <f t="shared" si="17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9">SUM(G46:G50)</f>
        <v>0</v>
      </c>
      <c r="H52" s="15">
        <f t="shared" si="19"/>
        <v>0</v>
      </c>
      <c r="I52" s="15">
        <f t="shared" si="19"/>
        <v>0</v>
      </c>
      <c r="J52" s="15">
        <f t="shared" ref="J52:K52" si="20">SUM(J46:J50)</f>
        <v>0</v>
      </c>
      <c r="K52" s="15">
        <f t="shared" si="20"/>
        <v>0</v>
      </c>
      <c r="L52" s="15">
        <f t="shared" si="19"/>
        <v>0</v>
      </c>
      <c r="M52" s="15">
        <f t="shared" si="19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21">SUM(G30+G51+G52)</f>
        <v>0</v>
      </c>
      <c r="H53" s="66">
        <f t="shared" si="21"/>
        <v>0</v>
      </c>
      <c r="I53" s="66">
        <f t="shared" si="21"/>
        <v>0</v>
      </c>
      <c r="J53" s="66">
        <f t="shared" ref="J53:K53" si="22">SUM(J30+J51+J52)</f>
        <v>0</v>
      </c>
      <c r="K53" s="66">
        <f t="shared" si="22"/>
        <v>0</v>
      </c>
      <c r="L53" s="66">
        <f t="shared" si="21"/>
        <v>0</v>
      </c>
      <c r="M53" s="66">
        <f t="shared" si="21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23">(F55-F53)/F55</f>
        <v>#REF!</v>
      </c>
      <c r="G56" s="74" t="e">
        <f t="shared" si="23"/>
        <v>#REF!</v>
      </c>
      <c r="H56" s="74" t="e">
        <f t="shared" si="23"/>
        <v>#REF!</v>
      </c>
      <c r="I56" s="74" t="e">
        <f t="shared" si="23"/>
        <v>#REF!</v>
      </c>
      <c r="J56" s="74" t="e">
        <f t="shared" ref="J56:K56" si="24">(J55-J53)/J55</f>
        <v>#REF!</v>
      </c>
      <c r="K56" s="74" t="e">
        <f t="shared" si="24"/>
        <v>#REF!</v>
      </c>
      <c r="L56" s="74" t="e">
        <f t="shared" si="23"/>
        <v>#REF!</v>
      </c>
      <c r="M56" s="74" t="e">
        <f t="shared" si="23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25">G30</f>
        <v>0</v>
      </c>
      <c r="H57" s="76">
        <f t="shared" si="25"/>
        <v>0</v>
      </c>
      <c r="I57" s="76">
        <f t="shared" si="25"/>
        <v>0</v>
      </c>
      <c r="J57" s="76">
        <f t="shared" ref="J57:K57" si="26">J30</f>
        <v>0</v>
      </c>
      <c r="K57" s="76">
        <f t="shared" si="26"/>
        <v>0</v>
      </c>
      <c r="L57" s="76">
        <f t="shared" si="25"/>
        <v>0</v>
      </c>
      <c r="M57" s="76">
        <f t="shared" si="25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8" si="27">G51</f>
        <v>0</v>
      </c>
      <c r="H58" s="14">
        <f t="shared" si="27"/>
        <v>0</v>
      </c>
      <c r="I58" s="14">
        <f t="shared" si="27"/>
        <v>0</v>
      </c>
      <c r="J58" s="14">
        <f t="shared" ref="J58:K58" si="28">J51</f>
        <v>0</v>
      </c>
      <c r="K58" s="14">
        <f t="shared" si="28"/>
        <v>0</v>
      </c>
      <c r="L58" s="14">
        <f t="shared" si="27"/>
        <v>0</v>
      </c>
      <c r="M58" s="14">
        <f t="shared" si="27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29">F52</f>
        <v>0</v>
      </c>
      <c r="G59" s="14">
        <f t="shared" si="29"/>
        <v>0</v>
      </c>
      <c r="H59" s="14">
        <f t="shared" si="29"/>
        <v>0</v>
      </c>
      <c r="I59" s="14">
        <f t="shared" si="29"/>
        <v>0</v>
      </c>
      <c r="J59" s="14">
        <f t="shared" ref="J59:K59" si="30">J52</f>
        <v>0</v>
      </c>
      <c r="K59" s="14">
        <f t="shared" si="30"/>
        <v>0</v>
      </c>
      <c r="L59" s="14">
        <f t="shared" si="29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31">SUM(G57:G59)</f>
        <v>0</v>
      </c>
      <c r="H60" s="62">
        <f t="shared" si="31"/>
        <v>0</v>
      </c>
      <c r="I60" s="62">
        <f t="shared" si="31"/>
        <v>0</v>
      </c>
      <c r="J60" s="62">
        <f t="shared" ref="J60:K60" si="32">SUM(J57:J59)</f>
        <v>0</v>
      </c>
      <c r="K60" s="62">
        <f t="shared" si="32"/>
        <v>0</v>
      </c>
      <c r="L60" s="62">
        <f t="shared" si="31"/>
        <v>0</v>
      </c>
      <c r="M60" s="62">
        <f t="shared" si="31"/>
        <v>0</v>
      </c>
      <c r="N60" s="77">
        <f t="shared" si="31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33">$N$60/F13</f>
        <v>0</v>
      </c>
      <c r="G61" s="77">
        <f t="shared" si="33"/>
        <v>0</v>
      </c>
      <c r="H61" s="62">
        <f t="shared" si="33"/>
        <v>0</v>
      </c>
      <c r="I61" s="77">
        <f t="shared" si="33"/>
        <v>0</v>
      </c>
      <c r="J61" s="77">
        <f t="shared" ref="J61:K61" si="34">$N$60/J13</f>
        <v>0</v>
      </c>
      <c r="K61" s="77">
        <f t="shared" si="34"/>
        <v>0</v>
      </c>
      <c r="L61" s="77">
        <f t="shared" si="33"/>
        <v>0</v>
      </c>
      <c r="M61" s="77">
        <f t="shared" si="33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1</v>
      </c>
      <c r="E63" s="206"/>
      <c r="F63" s="80">
        <f>SUM(F60:F62)</f>
        <v>0</v>
      </c>
      <c r="G63" s="80">
        <f t="shared" ref="G63:L63" si="35">SUM(G60:G62)</f>
        <v>0</v>
      </c>
      <c r="H63" s="80">
        <f t="shared" si="35"/>
        <v>0</v>
      </c>
      <c r="I63" s="80">
        <f t="shared" si="35"/>
        <v>0</v>
      </c>
      <c r="J63" s="80">
        <f t="shared" ref="J63:K63" si="36">SUM(J60:J62)</f>
        <v>0</v>
      </c>
      <c r="K63" s="80">
        <f t="shared" si="36"/>
        <v>0</v>
      </c>
      <c r="L63" s="80">
        <f t="shared" si="35"/>
        <v>0</v>
      </c>
      <c r="M63" s="80">
        <f>SUM(M60:M62)</f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61:E61"/>
    <mergeCell ref="B2:C2"/>
    <mergeCell ref="B3:C3"/>
    <mergeCell ref="B6:D6"/>
    <mergeCell ref="B51:E51"/>
    <mergeCell ref="B52:E52"/>
    <mergeCell ref="F2:N2"/>
    <mergeCell ref="F3:N10"/>
    <mergeCell ref="D125:E125"/>
    <mergeCell ref="D126:E126"/>
    <mergeCell ref="D62:E62"/>
    <mergeCell ref="D63:E63"/>
    <mergeCell ref="B53:E53"/>
    <mergeCell ref="D56:E56"/>
    <mergeCell ref="D57:E57"/>
    <mergeCell ref="C58:E58"/>
    <mergeCell ref="D59:E59"/>
    <mergeCell ref="D60:E60"/>
    <mergeCell ref="B73:C73"/>
    <mergeCell ref="B117:E117"/>
    <mergeCell ref="B118:E118"/>
    <mergeCell ref="B119:E119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7" r:id="rId5" name="Check Box 9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6" name="Check Box 11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7" name="Check Box 1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8" name="Check Box 13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9" name="Check Box 14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0" name="Check Box 1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1" name="Check Box 16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2" name="Check Box 17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13" name="Check Box 1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4" name="Check Box 19">
              <controlPr defaultSize="0" autoFill="0" autoLine="0" autoPict="0" altText="Amortize?_x000a_">
                <anchor moveWithCells="1">
                  <from>
                    <xdr:col>12</xdr:col>
                    <xdr:colOff>581025</xdr:colOff>
                    <xdr:row>40</xdr:row>
                    <xdr:rowOff>200025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15" name="Check Box 20">
              <controlPr defaultSize="0" autoFill="0" autoLine="0" autoPict="0" altText="Amortize?_x000a_">
                <anchor moveWithCells="1">
                  <from>
                    <xdr:col>12</xdr:col>
                    <xdr:colOff>581025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6" name="Check Box 21">
              <controlPr defaultSize="0" autoFill="0" autoLine="0" autoPict="0" altText="Amortize?_x000a_">
                <anchor moveWithCells="1">
                  <from>
                    <xdr:col>12</xdr:col>
                    <xdr:colOff>581025</xdr:colOff>
                    <xdr:row>42</xdr:row>
                    <xdr:rowOff>190500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87F297-7FA9-4909-815A-E3D984BA92FB}">
          <x14:formula1>
            <xm:f>'Top Assy'!$A$135:$A$174</xm:f>
          </x14:formula1>
          <xm:sqref>A14:A25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bestFit="1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9"/>
      <c r="J1" s="9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2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1">SUM(F16:F25)</f>
        <v>0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si="1"/>
        <v>0</v>
      </c>
      <c r="K26" s="17">
        <f t="shared" si="1"/>
        <v>0</v>
      </c>
      <c r="L26" s="17">
        <f t="shared" si="1"/>
        <v>0</v>
      </c>
      <c r="M26" s="17">
        <f t="shared" si="1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2">(($B$28/F13)+$C$28)/60</f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3">G26*$D$28</f>
        <v>0</v>
      </c>
      <c r="H28" s="20">
        <f t="shared" si="3"/>
        <v>0</v>
      </c>
      <c r="I28" s="20">
        <f t="shared" si="3"/>
        <v>0</v>
      </c>
      <c r="J28" s="20">
        <f t="shared" si="3"/>
        <v>0</v>
      </c>
      <c r="K28" s="20">
        <f t="shared" si="3"/>
        <v>0</v>
      </c>
      <c r="L28" s="20">
        <f t="shared" si="3"/>
        <v>0</v>
      </c>
      <c r="M28" s="20">
        <f t="shared" si="3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>F26+F28</f>
        <v>0</v>
      </c>
      <c r="G30" s="22">
        <f t="shared" ref="G30:M30" si="4">G26+G28</f>
        <v>0</v>
      </c>
      <c r="H30" s="22">
        <f t="shared" si="4"/>
        <v>0</v>
      </c>
      <c r="I30" s="22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5">"Qty: "&amp; F13</f>
        <v>Qty: 10</v>
      </c>
      <c r="G32" s="93" t="str">
        <f t="shared" si="5"/>
        <v>Qty: 25</v>
      </c>
      <c r="H32" s="93" t="str">
        <f t="shared" si="5"/>
        <v>Qty: 50</v>
      </c>
      <c r="I32" s="93" t="str">
        <f t="shared" si="5"/>
        <v>Qty: 75</v>
      </c>
      <c r="J32" s="93" t="str">
        <f t="shared" si="5"/>
        <v>Qty: 100</v>
      </c>
      <c r="K32" s="93" t="str">
        <f t="shared" si="5"/>
        <v>Qty: 250</v>
      </c>
      <c r="L32" s="93" t="str">
        <f t="shared" si="5"/>
        <v>Qty: 500</v>
      </c>
      <c r="M32" s="94" t="str">
        <f t="shared" si="5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6">C33*D33</f>
        <v>0</v>
      </c>
      <c r="F33" s="35">
        <f>IF($N33=TRUE,$E33/F$13,$E33*(1+(1/F$13)))</f>
        <v>0</v>
      </c>
      <c r="G33" s="35">
        <f t="shared" ref="G33:M44" si="7">IF($N33=TRUE,$E33/G$13,$E33*(1+(1/G$13)))</f>
        <v>0</v>
      </c>
      <c r="H33" s="35">
        <f t="shared" si="7"/>
        <v>0</v>
      </c>
      <c r="I33" s="35">
        <f t="shared" si="7"/>
        <v>0</v>
      </c>
      <c r="J33" s="35">
        <f t="shared" si="7"/>
        <v>0</v>
      </c>
      <c r="K33" s="35">
        <f t="shared" si="7"/>
        <v>0</v>
      </c>
      <c r="L33" s="35">
        <f t="shared" si="7"/>
        <v>0</v>
      </c>
      <c r="M33" s="35">
        <f t="shared" si="7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6"/>
        <v>0</v>
      </c>
      <c r="F34" s="35">
        <f t="shared" ref="F34:F44" si="8">IF($N34=TRUE,$E34/F$13,$E34*(1+(1/F$13)))</f>
        <v>0</v>
      </c>
      <c r="G34" s="35">
        <f t="shared" si="7"/>
        <v>0</v>
      </c>
      <c r="H34" s="35">
        <f t="shared" si="7"/>
        <v>0</v>
      </c>
      <c r="I34" s="35">
        <f t="shared" si="7"/>
        <v>0</v>
      </c>
      <c r="J34" s="35">
        <f t="shared" si="7"/>
        <v>0</v>
      </c>
      <c r="K34" s="35">
        <f t="shared" si="7"/>
        <v>0</v>
      </c>
      <c r="L34" s="35">
        <f t="shared" si="7"/>
        <v>0</v>
      </c>
      <c r="M34" s="35">
        <f t="shared" si="7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6"/>
        <v>0</v>
      </c>
      <c r="F35" s="35">
        <f t="shared" si="8"/>
        <v>0</v>
      </c>
      <c r="G35" s="35">
        <f t="shared" si="7"/>
        <v>0</v>
      </c>
      <c r="H35" s="35">
        <f t="shared" si="7"/>
        <v>0</v>
      </c>
      <c r="I35" s="35">
        <f t="shared" si="7"/>
        <v>0</v>
      </c>
      <c r="J35" s="35">
        <f t="shared" si="7"/>
        <v>0</v>
      </c>
      <c r="K35" s="35">
        <f t="shared" si="7"/>
        <v>0</v>
      </c>
      <c r="L35" s="35">
        <f t="shared" si="7"/>
        <v>0</v>
      </c>
      <c r="M35" s="35">
        <f t="shared" si="7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6"/>
        <v>0</v>
      </c>
      <c r="F36" s="35">
        <f t="shared" si="8"/>
        <v>0</v>
      </c>
      <c r="G36" s="35">
        <f t="shared" si="7"/>
        <v>0</v>
      </c>
      <c r="H36" s="35">
        <f t="shared" si="7"/>
        <v>0</v>
      </c>
      <c r="I36" s="35">
        <f t="shared" si="7"/>
        <v>0</v>
      </c>
      <c r="J36" s="35">
        <f t="shared" si="7"/>
        <v>0</v>
      </c>
      <c r="K36" s="35">
        <f t="shared" si="7"/>
        <v>0</v>
      </c>
      <c r="L36" s="35">
        <f t="shared" si="7"/>
        <v>0</v>
      </c>
      <c r="M36" s="35">
        <f t="shared" si="7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6"/>
        <v>0</v>
      </c>
      <c r="F37" s="35">
        <f t="shared" si="8"/>
        <v>0</v>
      </c>
      <c r="G37" s="35">
        <f t="shared" si="7"/>
        <v>0</v>
      </c>
      <c r="H37" s="35">
        <f t="shared" si="7"/>
        <v>0</v>
      </c>
      <c r="I37" s="35">
        <f t="shared" si="7"/>
        <v>0</v>
      </c>
      <c r="J37" s="35">
        <f t="shared" si="7"/>
        <v>0</v>
      </c>
      <c r="K37" s="35">
        <f t="shared" si="7"/>
        <v>0</v>
      </c>
      <c r="L37" s="35">
        <f t="shared" si="7"/>
        <v>0</v>
      </c>
      <c r="M37" s="35">
        <f t="shared" si="7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6"/>
        <v>0</v>
      </c>
      <c r="F38" s="35">
        <f t="shared" si="8"/>
        <v>0</v>
      </c>
      <c r="G38" s="35">
        <f t="shared" si="7"/>
        <v>0</v>
      </c>
      <c r="H38" s="35">
        <f t="shared" si="7"/>
        <v>0</v>
      </c>
      <c r="I38" s="35">
        <f t="shared" si="7"/>
        <v>0</v>
      </c>
      <c r="J38" s="35">
        <f t="shared" si="7"/>
        <v>0</v>
      </c>
      <c r="K38" s="35">
        <f t="shared" si="7"/>
        <v>0</v>
      </c>
      <c r="L38" s="35">
        <f t="shared" si="7"/>
        <v>0</v>
      </c>
      <c r="M38" s="35">
        <f t="shared" si="7"/>
        <v>0</v>
      </c>
      <c r="N38" s="160" t="b">
        <v>0</v>
      </c>
      <c r="O38" s="34"/>
      <c r="P38" s="34"/>
      <c r="Q38" s="34"/>
      <c r="R38" s="34"/>
      <c r="S38" s="34">
        <f>K13</f>
        <v>250</v>
      </c>
      <c r="T38" s="124">
        <f>K63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6"/>
        <v>0</v>
      </c>
      <c r="F39" s="35">
        <f t="shared" si="8"/>
        <v>0</v>
      </c>
      <c r="G39" s="35">
        <f t="shared" si="7"/>
        <v>0</v>
      </c>
      <c r="H39" s="35">
        <f t="shared" si="7"/>
        <v>0</v>
      </c>
      <c r="I39" s="35">
        <f t="shared" si="7"/>
        <v>0</v>
      </c>
      <c r="J39" s="35">
        <f t="shared" si="7"/>
        <v>0</v>
      </c>
      <c r="K39" s="35">
        <f t="shared" si="7"/>
        <v>0</v>
      </c>
      <c r="L39" s="35">
        <f t="shared" si="7"/>
        <v>0</v>
      </c>
      <c r="M39" s="35">
        <f t="shared" si="7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6"/>
        <v>0</v>
      </c>
      <c r="F40" s="35">
        <f t="shared" si="8"/>
        <v>0</v>
      </c>
      <c r="G40" s="35">
        <f t="shared" si="7"/>
        <v>0</v>
      </c>
      <c r="H40" s="35">
        <f t="shared" si="7"/>
        <v>0</v>
      </c>
      <c r="I40" s="35">
        <f t="shared" si="7"/>
        <v>0</v>
      </c>
      <c r="J40" s="35">
        <f t="shared" si="7"/>
        <v>0</v>
      </c>
      <c r="K40" s="35">
        <f t="shared" si="7"/>
        <v>0</v>
      </c>
      <c r="L40" s="35">
        <f t="shared" si="7"/>
        <v>0</v>
      </c>
      <c r="M40" s="35">
        <f t="shared" si="7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6"/>
        <v>0</v>
      </c>
      <c r="F41" s="35">
        <f t="shared" si="8"/>
        <v>0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0</v>
      </c>
      <c r="L41" s="35">
        <f t="shared" si="7"/>
        <v>0</v>
      </c>
      <c r="M41" s="35">
        <f t="shared" si="7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6"/>
        <v>0</v>
      </c>
      <c r="F42" s="35">
        <f t="shared" si="8"/>
        <v>0</v>
      </c>
      <c r="G42" s="35">
        <f t="shared" si="7"/>
        <v>0</v>
      </c>
      <c r="H42" s="35">
        <f t="shared" si="7"/>
        <v>0</v>
      </c>
      <c r="I42" s="35">
        <f t="shared" si="7"/>
        <v>0</v>
      </c>
      <c r="J42" s="35">
        <f t="shared" si="7"/>
        <v>0</v>
      </c>
      <c r="K42" s="35">
        <f t="shared" si="7"/>
        <v>0</v>
      </c>
      <c r="L42" s="35">
        <f t="shared" si="7"/>
        <v>0</v>
      </c>
      <c r="M42" s="35">
        <f t="shared" si="7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6"/>
        <v>0</v>
      </c>
      <c r="F43" s="35">
        <f t="shared" si="8"/>
        <v>0</v>
      </c>
      <c r="G43" s="35">
        <f t="shared" si="7"/>
        <v>0</v>
      </c>
      <c r="H43" s="35">
        <f t="shared" si="7"/>
        <v>0</v>
      </c>
      <c r="I43" s="35">
        <f t="shared" si="7"/>
        <v>0</v>
      </c>
      <c r="J43" s="35">
        <f t="shared" si="7"/>
        <v>0</v>
      </c>
      <c r="K43" s="35">
        <f t="shared" si="7"/>
        <v>0</v>
      </c>
      <c r="L43" s="35">
        <f t="shared" si="7"/>
        <v>0</v>
      </c>
      <c r="M43" s="35">
        <f t="shared" si="7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6"/>
        <v>0</v>
      </c>
      <c r="F44" s="35">
        <f t="shared" si="8"/>
        <v>0</v>
      </c>
      <c r="G44" s="35">
        <f t="shared" si="7"/>
        <v>0</v>
      </c>
      <c r="H44" s="35">
        <f t="shared" si="7"/>
        <v>0</v>
      </c>
      <c r="I44" s="35">
        <f t="shared" si="7"/>
        <v>0</v>
      </c>
      <c r="J44" s="35">
        <f t="shared" si="7"/>
        <v>0</v>
      </c>
      <c r="K44" s="35">
        <f t="shared" si="7"/>
        <v>0</v>
      </c>
      <c r="L44" s="35">
        <f t="shared" si="7"/>
        <v>0</v>
      </c>
      <c r="M44" s="35">
        <f t="shared" si="7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9">($D46/G$13)+$E46</f>
        <v>0</v>
      </c>
      <c r="H46" s="35">
        <f t="shared" si="9"/>
        <v>0</v>
      </c>
      <c r="I46" s="35">
        <f>($D46/I$13)+$E46</f>
        <v>0</v>
      </c>
      <c r="J46" s="35">
        <f t="shared" ref="J46" si="10">($D46/J$13)+$E46</f>
        <v>0</v>
      </c>
      <c r="K46" s="35">
        <f>($D46/K$13)+$E46</f>
        <v>0</v>
      </c>
      <c r="L46" s="35">
        <f>($D46/L$13)+$E46</f>
        <v>0</v>
      </c>
      <c r="M46" s="35">
        <f>($D46/M$13)+$E46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9"/>
        <v>0</v>
      </c>
      <c r="H47" s="35">
        <f t="shared" si="9"/>
        <v>0</v>
      </c>
      <c r="I47" s="35">
        <f t="shared" si="9"/>
        <v>0</v>
      </c>
      <c r="J47" s="35">
        <f t="shared" si="9"/>
        <v>0</v>
      </c>
      <c r="K47" s="35">
        <f t="shared" si="9"/>
        <v>0</v>
      </c>
      <c r="L47" s="35">
        <f t="shared" si="9"/>
        <v>0</v>
      </c>
      <c r="M47" s="35">
        <f t="shared" si="9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1">($D48/F$13)+$E48</f>
        <v>0</v>
      </c>
      <c r="G48" s="35">
        <f t="shared" si="9"/>
        <v>0</v>
      </c>
      <c r="H48" s="35">
        <f t="shared" si="9"/>
        <v>0</v>
      </c>
      <c r="I48" s="35">
        <f t="shared" si="9"/>
        <v>0</v>
      </c>
      <c r="J48" s="35">
        <f t="shared" si="9"/>
        <v>0</v>
      </c>
      <c r="K48" s="35">
        <f t="shared" si="9"/>
        <v>0</v>
      </c>
      <c r="L48" s="35">
        <f t="shared" si="9"/>
        <v>0</v>
      </c>
      <c r="M48" s="35">
        <f t="shared" si="9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1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9"/>
        <v>0</v>
      </c>
      <c r="K49" s="35">
        <f t="shared" si="9"/>
        <v>0</v>
      </c>
      <c r="L49" s="35">
        <f t="shared" si="9"/>
        <v>0</v>
      </c>
      <c r="M49" s="35">
        <f t="shared" si="9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1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9"/>
        <v>0</v>
      </c>
      <c r="K50" s="35">
        <f t="shared" si="9"/>
        <v>0</v>
      </c>
      <c r="L50" s="35">
        <f t="shared" si="9"/>
        <v>0</v>
      </c>
      <c r="M50" s="35">
        <f t="shared" si="9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>SUM(F33:F44)</f>
        <v>0</v>
      </c>
      <c r="G51" s="63">
        <f t="shared" ref="G51:M51" si="12">SUM(G33:G44)</f>
        <v>0</v>
      </c>
      <c r="H51" s="63">
        <f t="shared" si="12"/>
        <v>0</v>
      </c>
      <c r="I51" s="63">
        <f t="shared" ref="I51:J51" si="13">SUM(I33:I44)</f>
        <v>0</v>
      </c>
      <c r="J51" s="63">
        <f t="shared" si="13"/>
        <v>0</v>
      </c>
      <c r="K51" s="63">
        <f t="shared" si="12"/>
        <v>0</v>
      </c>
      <c r="L51" s="63">
        <f t="shared" si="12"/>
        <v>0</v>
      </c>
      <c r="M51" s="63">
        <f t="shared" si="12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4">SUM(G46:G50)</f>
        <v>0</v>
      </c>
      <c r="H52" s="15">
        <f t="shared" si="14"/>
        <v>0</v>
      </c>
      <c r="I52" s="15">
        <f t="shared" si="14"/>
        <v>0</v>
      </c>
      <c r="J52" s="15">
        <f t="shared" si="14"/>
        <v>0</v>
      </c>
      <c r="K52" s="15">
        <f t="shared" si="14"/>
        <v>0</v>
      </c>
      <c r="L52" s="15">
        <f t="shared" si="14"/>
        <v>0</v>
      </c>
      <c r="M52" s="15">
        <f t="shared" si="14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15">SUM(G30+G51+G52)</f>
        <v>0</v>
      </c>
      <c r="H53" s="66">
        <f t="shared" si="15"/>
        <v>0</v>
      </c>
      <c r="I53" s="66">
        <f t="shared" si="15"/>
        <v>0</v>
      </c>
      <c r="J53" s="66">
        <f t="shared" si="15"/>
        <v>0</v>
      </c>
      <c r="K53" s="66">
        <f t="shared" si="15"/>
        <v>0</v>
      </c>
      <c r="L53" s="66">
        <f t="shared" si="15"/>
        <v>0</v>
      </c>
      <c r="M53" s="66">
        <f t="shared" si="15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16">(F55-F53)/F55</f>
        <v>#REF!</v>
      </c>
      <c r="G56" s="74" t="e">
        <f t="shared" si="16"/>
        <v>#REF!</v>
      </c>
      <c r="H56" s="74" t="e">
        <f t="shared" si="16"/>
        <v>#REF!</v>
      </c>
      <c r="I56" s="74" t="e">
        <f t="shared" si="16"/>
        <v>#REF!</v>
      </c>
      <c r="J56" s="74" t="e">
        <f t="shared" si="16"/>
        <v>#REF!</v>
      </c>
      <c r="K56" s="74" t="e">
        <f t="shared" si="16"/>
        <v>#REF!</v>
      </c>
      <c r="L56" s="74" t="e">
        <f t="shared" si="16"/>
        <v>#REF!</v>
      </c>
      <c r="M56" s="74" t="e">
        <f t="shared" si="16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17">G30</f>
        <v>0</v>
      </c>
      <c r="H57" s="76">
        <f t="shared" si="17"/>
        <v>0</v>
      </c>
      <c r="I57" s="76">
        <f t="shared" si="17"/>
        <v>0</v>
      </c>
      <c r="J57" s="76">
        <f t="shared" si="17"/>
        <v>0</v>
      </c>
      <c r="K57" s="76">
        <f t="shared" si="17"/>
        <v>0</v>
      </c>
      <c r="L57" s="76">
        <f t="shared" si="17"/>
        <v>0</v>
      </c>
      <c r="M57" s="76">
        <f t="shared" si="17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9" si="18">G51</f>
        <v>0</v>
      </c>
      <c r="H58" s="14">
        <f t="shared" si="18"/>
        <v>0</v>
      </c>
      <c r="I58" s="14">
        <f t="shared" si="18"/>
        <v>0</v>
      </c>
      <c r="J58" s="14">
        <f t="shared" si="18"/>
        <v>0</v>
      </c>
      <c r="K58" s="14">
        <f t="shared" si="18"/>
        <v>0</v>
      </c>
      <c r="L58" s="14">
        <f t="shared" si="18"/>
        <v>0</v>
      </c>
      <c r="M58" s="14">
        <f t="shared" si="18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19">F52</f>
        <v>0</v>
      </c>
      <c r="G59" s="14">
        <f t="shared" si="19"/>
        <v>0</v>
      </c>
      <c r="H59" s="14">
        <f t="shared" si="19"/>
        <v>0</v>
      </c>
      <c r="I59" s="14">
        <f t="shared" si="18"/>
        <v>0</v>
      </c>
      <c r="J59" s="14">
        <f t="shared" si="18"/>
        <v>0</v>
      </c>
      <c r="K59" s="14">
        <f t="shared" si="19"/>
        <v>0</v>
      </c>
      <c r="L59" s="14">
        <f t="shared" si="19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20">SUM(G57:G59)</f>
        <v>0</v>
      </c>
      <c r="H60" s="62">
        <f t="shared" si="20"/>
        <v>0</v>
      </c>
      <c r="I60" s="62">
        <f t="shared" si="20"/>
        <v>0</v>
      </c>
      <c r="J60" s="62">
        <f t="shared" si="20"/>
        <v>0</v>
      </c>
      <c r="K60" s="62">
        <f t="shared" si="20"/>
        <v>0</v>
      </c>
      <c r="L60" s="62">
        <f t="shared" si="20"/>
        <v>0</v>
      </c>
      <c r="M60" s="62">
        <f t="shared" si="20"/>
        <v>0</v>
      </c>
      <c r="N60" s="77">
        <f t="shared" si="20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21">$N$60/F13</f>
        <v>0</v>
      </c>
      <c r="G61" s="77">
        <f t="shared" si="21"/>
        <v>0</v>
      </c>
      <c r="H61" s="62">
        <f t="shared" si="21"/>
        <v>0</v>
      </c>
      <c r="I61" s="77">
        <f t="shared" si="21"/>
        <v>0</v>
      </c>
      <c r="J61" s="77">
        <f t="shared" si="21"/>
        <v>0</v>
      </c>
      <c r="K61" s="77">
        <f t="shared" si="21"/>
        <v>0</v>
      </c>
      <c r="L61" s="77">
        <f t="shared" si="21"/>
        <v>0</v>
      </c>
      <c r="M61" s="77">
        <f t="shared" si="21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2</v>
      </c>
      <c r="E63" s="206"/>
      <c r="F63" s="80">
        <f>SUM(F60:F62)</f>
        <v>0</v>
      </c>
      <c r="G63" s="80">
        <f t="shared" ref="G63:M63" si="22">SUM(G60:G62)</f>
        <v>0</v>
      </c>
      <c r="H63" s="80">
        <f t="shared" si="22"/>
        <v>0</v>
      </c>
      <c r="I63" s="80">
        <f t="shared" si="22"/>
        <v>0</v>
      </c>
      <c r="J63" s="80">
        <f t="shared" si="22"/>
        <v>0</v>
      </c>
      <c r="K63" s="80">
        <f t="shared" si="22"/>
        <v>0</v>
      </c>
      <c r="L63" s="80">
        <f t="shared" si="22"/>
        <v>0</v>
      </c>
      <c r="M63" s="80">
        <f t="shared" si="22"/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61:E61"/>
    <mergeCell ref="B2:C2"/>
    <mergeCell ref="B3:C3"/>
    <mergeCell ref="B6:D6"/>
    <mergeCell ref="B51:E51"/>
    <mergeCell ref="B52:E52"/>
    <mergeCell ref="F2:N2"/>
    <mergeCell ref="F3:N10"/>
    <mergeCell ref="D125:E125"/>
    <mergeCell ref="D126:E126"/>
    <mergeCell ref="D62:E62"/>
    <mergeCell ref="D63:E63"/>
    <mergeCell ref="B53:E53"/>
    <mergeCell ref="D56:E56"/>
    <mergeCell ref="D57:E57"/>
    <mergeCell ref="C58:E58"/>
    <mergeCell ref="D59:E59"/>
    <mergeCell ref="D60:E60"/>
    <mergeCell ref="B73:C73"/>
    <mergeCell ref="B117:E117"/>
    <mergeCell ref="B118:E118"/>
    <mergeCell ref="B119:E119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30" r:id="rId5" name="Check Box 10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6" name="Check Box 11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7" name="Check Box 1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3" r:id="rId8" name="Check Box 13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9" name="Check Box 14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0" name="Check Box 1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6" r:id="rId11" name="Check Box 16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7" r:id="rId12" name="Check Box 17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8" r:id="rId13" name="Check Box 1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9" r:id="rId14" name="Check Box 19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41</xdr:row>
                    <xdr:rowOff>0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0" r:id="rId15" name="Check Box 2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41" r:id="rId16" name="Check Box 2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5884AF3-8459-400B-BBFC-AAEA9B0F0807}">
          <x14:formula1>
            <xm:f>'Top Assy'!$A$135:$A$174</xm:f>
          </x14:formula1>
          <xm:sqref>A14:A25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bestFit="1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9"/>
      <c r="J1" s="9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3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137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1">SUM(F16:F25)</f>
        <v>0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si="1"/>
        <v>0</v>
      </c>
      <c r="K26" s="17">
        <f t="shared" si="1"/>
        <v>0</v>
      </c>
      <c r="L26" s="17">
        <f t="shared" si="1"/>
        <v>0</v>
      </c>
      <c r="M26" s="17">
        <f t="shared" si="1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2">(($B$28/F13)+$C$28)/60</f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3">G26*$D$28</f>
        <v>0</v>
      </c>
      <c r="H28" s="20">
        <f t="shared" si="3"/>
        <v>0</v>
      </c>
      <c r="I28" s="20">
        <f t="shared" si="3"/>
        <v>0</v>
      </c>
      <c r="J28" s="20">
        <f t="shared" si="3"/>
        <v>0</v>
      </c>
      <c r="K28" s="20">
        <f t="shared" si="3"/>
        <v>0</v>
      </c>
      <c r="L28" s="20">
        <f t="shared" si="3"/>
        <v>0</v>
      </c>
      <c r="M28" s="20">
        <f t="shared" si="3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>F26+F28</f>
        <v>0</v>
      </c>
      <c r="G30" s="22">
        <f t="shared" ref="G30:M30" si="4">G26+G28</f>
        <v>0</v>
      </c>
      <c r="H30" s="22">
        <f t="shared" si="4"/>
        <v>0</v>
      </c>
      <c r="I30" s="22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5">"Qty: "&amp; F13</f>
        <v>Qty: 10</v>
      </c>
      <c r="G32" s="93" t="str">
        <f t="shared" si="5"/>
        <v>Qty: 25</v>
      </c>
      <c r="H32" s="93" t="str">
        <f t="shared" si="5"/>
        <v>Qty: 50</v>
      </c>
      <c r="I32" s="93" t="str">
        <f t="shared" si="5"/>
        <v>Qty: 75</v>
      </c>
      <c r="J32" s="93" t="str">
        <f t="shared" si="5"/>
        <v>Qty: 100</v>
      </c>
      <c r="K32" s="93" t="str">
        <f t="shared" si="5"/>
        <v>Qty: 250</v>
      </c>
      <c r="L32" s="93" t="str">
        <f t="shared" si="5"/>
        <v>Qty: 500</v>
      </c>
      <c r="M32" s="94" t="str">
        <f t="shared" si="5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6">C33*D33</f>
        <v>0</v>
      </c>
      <c r="F33" s="35">
        <f>IF($N33=TRUE,$E33/F$13,$E33*(1+(1/F$13)))</f>
        <v>0</v>
      </c>
      <c r="G33" s="35">
        <f t="shared" ref="G33:M44" si="7">IF($N33=TRUE,$E33/G$13,$E33*(1+(1/G$13)))</f>
        <v>0</v>
      </c>
      <c r="H33" s="35">
        <f t="shared" si="7"/>
        <v>0</v>
      </c>
      <c r="I33" s="35">
        <f t="shared" si="7"/>
        <v>0</v>
      </c>
      <c r="J33" s="35">
        <f t="shared" si="7"/>
        <v>0</v>
      </c>
      <c r="K33" s="35">
        <f t="shared" si="7"/>
        <v>0</v>
      </c>
      <c r="L33" s="35">
        <f t="shared" si="7"/>
        <v>0</v>
      </c>
      <c r="M33" s="35">
        <f t="shared" si="7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6"/>
        <v>0</v>
      </c>
      <c r="F34" s="35">
        <f t="shared" ref="F34:F44" si="8">IF($N34=TRUE,$E34/F$13,$E34*(1+(1/F$13)))</f>
        <v>0</v>
      </c>
      <c r="G34" s="35">
        <f t="shared" si="7"/>
        <v>0</v>
      </c>
      <c r="H34" s="35">
        <f t="shared" si="7"/>
        <v>0</v>
      </c>
      <c r="I34" s="35">
        <f t="shared" si="7"/>
        <v>0</v>
      </c>
      <c r="J34" s="35">
        <f t="shared" si="7"/>
        <v>0</v>
      </c>
      <c r="K34" s="35">
        <f t="shared" si="7"/>
        <v>0</v>
      </c>
      <c r="L34" s="35">
        <f t="shared" si="7"/>
        <v>0</v>
      </c>
      <c r="M34" s="35">
        <f t="shared" si="7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6"/>
        <v>0</v>
      </c>
      <c r="F35" s="35">
        <f t="shared" si="8"/>
        <v>0</v>
      </c>
      <c r="G35" s="35">
        <f t="shared" si="7"/>
        <v>0</v>
      </c>
      <c r="H35" s="35">
        <f t="shared" si="7"/>
        <v>0</v>
      </c>
      <c r="I35" s="35">
        <f t="shared" si="7"/>
        <v>0</v>
      </c>
      <c r="J35" s="35">
        <f t="shared" si="7"/>
        <v>0</v>
      </c>
      <c r="K35" s="35">
        <f t="shared" si="7"/>
        <v>0</v>
      </c>
      <c r="L35" s="35">
        <f t="shared" si="7"/>
        <v>0</v>
      </c>
      <c r="M35" s="35">
        <f t="shared" si="7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6"/>
        <v>0</v>
      </c>
      <c r="F36" s="35">
        <f t="shared" si="8"/>
        <v>0</v>
      </c>
      <c r="G36" s="35">
        <f t="shared" si="7"/>
        <v>0</v>
      </c>
      <c r="H36" s="35">
        <f t="shared" si="7"/>
        <v>0</v>
      </c>
      <c r="I36" s="35">
        <f t="shared" si="7"/>
        <v>0</v>
      </c>
      <c r="J36" s="35">
        <f t="shared" si="7"/>
        <v>0</v>
      </c>
      <c r="K36" s="35">
        <f t="shared" si="7"/>
        <v>0</v>
      </c>
      <c r="L36" s="35">
        <f t="shared" si="7"/>
        <v>0</v>
      </c>
      <c r="M36" s="35">
        <f t="shared" si="7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6"/>
        <v>0</v>
      </c>
      <c r="F37" s="35">
        <f t="shared" si="8"/>
        <v>0</v>
      </c>
      <c r="G37" s="35">
        <f t="shared" si="7"/>
        <v>0</v>
      </c>
      <c r="H37" s="35">
        <f t="shared" si="7"/>
        <v>0</v>
      </c>
      <c r="I37" s="35">
        <f t="shared" si="7"/>
        <v>0</v>
      </c>
      <c r="J37" s="35">
        <f t="shared" si="7"/>
        <v>0</v>
      </c>
      <c r="K37" s="35">
        <f t="shared" si="7"/>
        <v>0</v>
      </c>
      <c r="L37" s="35">
        <f t="shared" si="7"/>
        <v>0</v>
      </c>
      <c r="M37" s="35">
        <f t="shared" si="7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6"/>
        <v>0</v>
      </c>
      <c r="F38" s="35">
        <f t="shared" si="8"/>
        <v>0</v>
      </c>
      <c r="G38" s="35">
        <f t="shared" si="7"/>
        <v>0</v>
      </c>
      <c r="H38" s="35">
        <f t="shared" si="7"/>
        <v>0</v>
      </c>
      <c r="I38" s="35">
        <f t="shared" si="7"/>
        <v>0</v>
      </c>
      <c r="J38" s="35">
        <f t="shared" si="7"/>
        <v>0</v>
      </c>
      <c r="K38" s="35">
        <f t="shared" si="7"/>
        <v>0</v>
      </c>
      <c r="L38" s="35">
        <f t="shared" si="7"/>
        <v>0</v>
      </c>
      <c r="M38" s="35">
        <f t="shared" si="7"/>
        <v>0</v>
      </c>
      <c r="N38" s="160" t="b">
        <v>0</v>
      </c>
      <c r="O38" s="34"/>
      <c r="P38" s="34"/>
      <c r="Q38" s="34"/>
      <c r="R38" s="34"/>
      <c r="S38" s="34">
        <f>K13</f>
        <v>250</v>
      </c>
      <c r="T38" s="124">
        <f>K63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6"/>
        <v>0</v>
      </c>
      <c r="F39" s="35">
        <f t="shared" si="8"/>
        <v>0</v>
      </c>
      <c r="G39" s="35">
        <f t="shared" si="7"/>
        <v>0</v>
      </c>
      <c r="H39" s="35">
        <f t="shared" si="7"/>
        <v>0</v>
      </c>
      <c r="I39" s="35">
        <f t="shared" si="7"/>
        <v>0</v>
      </c>
      <c r="J39" s="35">
        <f t="shared" si="7"/>
        <v>0</v>
      </c>
      <c r="K39" s="35">
        <f t="shared" si="7"/>
        <v>0</v>
      </c>
      <c r="L39" s="35">
        <f t="shared" si="7"/>
        <v>0</v>
      </c>
      <c r="M39" s="35">
        <f t="shared" si="7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6"/>
        <v>0</v>
      </c>
      <c r="F40" s="35">
        <f t="shared" si="8"/>
        <v>0</v>
      </c>
      <c r="G40" s="35">
        <f t="shared" si="7"/>
        <v>0</v>
      </c>
      <c r="H40" s="35">
        <f t="shared" si="7"/>
        <v>0</v>
      </c>
      <c r="I40" s="35">
        <f t="shared" si="7"/>
        <v>0</v>
      </c>
      <c r="J40" s="35">
        <f t="shared" si="7"/>
        <v>0</v>
      </c>
      <c r="K40" s="35">
        <f t="shared" si="7"/>
        <v>0</v>
      </c>
      <c r="L40" s="35">
        <f t="shared" si="7"/>
        <v>0</v>
      </c>
      <c r="M40" s="35">
        <f t="shared" si="7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6"/>
        <v>0</v>
      </c>
      <c r="F41" s="35">
        <f t="shared" si="8"/>
        <v>0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0</v>
      </c>
      <c r="L41" s="35">
        <f t="shared" si="7"/>
        <v>0</v>
      </c>
      <c r="M41" s="35">
        <f t="shared" si="7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6"/>
        <v>0</v>
      </c>
      <c r="F42" s="35">
        <f t="shared" si="8"/>
        <v>0</v>
      </c>
      <c r="G42" s="35">
        <f t="shared" si="7"/>
        <v>0</v>
      </c>
      <c r="H42" s="35">
        <f t="shared" si="7"/>
        <v>0</v>
      </c>
      <c r="I42" s="35">
        <f t="shared" si="7"/>
        <v>0</v>
      </c>
      <c r="J42" s="35">
        <f t="shared" si="7"/>
        <v>0</v>
      </c>
      <c r="K42" s="35">
        <f t="shared" si="7"/>
        <v>0</v>
      </c>
      <c r="L42" s="35">
        <f t="shared" si="7"/>
        <v>0</v>
      </c>
      <c r="M42" s="35">
        <f t="shared" si="7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6"/>
        <v>0</v>
      </c>
      <c r="F43" s="35">
        <f t="shared" si="8"/>
        <v>0</v>
      </c>
      <c r="G43" s="35">
        <f t="shared" si="7"/>
        <v>0</v>
      </c>
      <c r="H43" s="35">
        <f t="shared" si="7"/>
        <v>0</v>
      </c>
      <c r="I43" s="35">
        <f t="shared" si="7"/>
        <v>0</v>
      </c>
      <c r="J43" s="35">
        <f t="shared" si="7"/>
        <v>0</v>
      </c>
      <c r="K43" s="35">
        <f t="shared" si="7"/>
        <v>0</v>
      </c>
      <c r="L43" s="35">
        <f t="shared" si="7"/>
        <v>0</v>
      </c>
      <c r="M43" s="35">
        <f t="shared" si="7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6"/>
        <v>0</v>
      </c>
      <c r="F44" s="35">
        <f t="shared" si="8"/>
        <v>0</v>
      </c>
      <c r="G44" s="35">
        <f t="shared" si="7"/>
        <v>0</v>
      </c>
      <c r="H44" s="35">
        <f t="shared" si="7"/>
        <v>0</v>
      </c>
      <c r="I44" s="35">
        <f t="shared" si="7"/>
        <v>0</v>
      </c>
      <c r="J44" s="35">
        <f t="shared" si="7"/>
        <v>0</v>
      </c>
      <c r="K44" s="35">
        <f t="shared" si="7"/>
        <v>0</v>
      </c>
      <c r="L44" s="35">
        <f t="shared" si="7"/>
        <v>0</v>
      </c>
      <c r="M44" s="35">
        <f t="shared" si="7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9">($D46/G$13)+$E46</f>
        <v>0</v>
      </c>
      <c r="H46" s="35">
        <f t="shared" si="9"/>
        <v>0</v>
      </c>
      <c r="I46" s="35">
        <f>($D46/I$13)+$E46</f>
        <v>0</v>
      </c>
      <c r="J46" s="35">
        <f t="shared" ref="J46" si="10">($D46/J$13)+$E46</f>
        <v>0</v>
      </c>
      <c r="K46" s="35">
        <f>($D46/K$13)+$E46</f>
        <v>0</v>
      </c>
      <c r="L46" s="35">
        <f>($D46/L$13)+$E46</f>
        <v>0</v>
      </c>
      <c r="M46" s="35">
        <f>($D46/M$13)+$E46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9"/>
        <v>0</v>
      </c>
      <c r="H47" s="35">
        <f t="shared" si="9"/>
        <v>0</v>
      </c>
      <c r="I47" s="35">
        <f t="shared" si="9"/>
        <v>0</v>
      </c>
      <c r="J47" s="35">
        <f t="shared" si="9"/>
        <v>0</v>
      </c>
      <c r="K47" s="35">
        <f t="shared" si="9"/>
        <v>0</v>
      </c>
      <c r="L47" s="35">
        <f t="shared" si="9"/>
        <v>0</v>
      </c>
      <c r="M47" s="35">
        <f t="shared" si="9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1">($D48/F$13)+$E48</f>
        <v>0</v>
      </c>
      <c r="G48" s="35">
        <f t="shared" si="9"/>
        <v>0</v>
      </c>
      <c r="H48" s="35">
        <f t="shared" si="9"/>
        <v>0</v>
      </c>
      <c r="I48" s="35">
        <f t="shared" si="9"/>
        <v>0</v>
      </c>
      <c r="J48" s="35">
        <f t="shared" si="9"/>
        <v>0</v>
      </c>
      <c r="K48" s="35">
        <f t="shared" si="9"/>
        <v>0</v>
      </c>
      <c r="L48" s="35">
        <f t="shared" si="9"/>
        <v>0</v>
      </c>
      <c r="M48" s="35">
        <f t="shared" si="9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1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9"/>
        <v>0</v>
      </c>
      <c r="K49" s="35">
        <f t="shared" si="9"/>
        <v>0</v>
      </c>
      <c r="L49" s="35">
        <f t="shared" si="9"/>
        <v>0</v>
      </c>
      <c r="M49" s="35">
        <f t="shared" si="9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1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9"/>
        <v>0</v>
      </c>
      <c r="K50" s="35">
        <f t="shared" si="9"/>
        <v>0</v>
      </c>
      <c r="L50" s="35">
        <f t="shared" si="9"/>
        <v>0</v>
      </c>
      <c r="M50" s="35">
        <f t="shared" si="9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>SUM(F33:F44)</f>
        <v>0</v>
      </c>
      <c r="G51" s="63">
        <f t="shared" ref="G51:M51" si="12">SUM(G33:G44)</f>
        <v>0</v>
      </c>
      <c r="H51" s="63">
        <f t="shared" si="12"/>
        <v>0</v>
      </c>
      <c r="I51" s="63">
        <f t="shared" ref="I51:J51" si="13">SUM(I33:I44)</f>
        <v>0</v>
      </c>
      <c r="J51" s="63">
        <f t="shared" si="13"/>
        <v>0</v>
      </c>
      <c r="K51" s="63">
        <f t="shared" si="12"/>
        <v>0</v>
      </c>
      <c r="L51" s="63">
        <f t="shared" si="12"/>
        <v>0</v>
      </c>
      <c r="M51" s="63">
        <f t="shared" si="12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4">SUM(G46:G50)</f>
        <v>0</v>
      </c>
      <c r="H52" s="15">
        <f t="shared" si="14"/>
        <v>0</v>
      </c>
      <c r="I52" s="15">
        <f t="shared" si="14"/>
        <v>0</v>
      </c>
      <c r="J52" s="15">
        <f t="shared" si="14"/>
        <v>0</v>
      </c>
      <c r="K52" s="15">
        <f t="shared" si="14"/>
        <v>0</v>
      </c>
      <c r="L52" s="15">
        <f t="shared" si="14"/>
        <v>0</v>
      </c>
      <c r="M52" s="15">
        <f t="shared" si="14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15">SUM(G30+G51+G52)</f>
        <v>0</v>
      </c>
      <c r="H53" s="66">
        <f t="shared" si="15"/>
        <v>0</v>
      </c>
      <c r="I53" s="66">
        <f t="shared" si="15"/>
        <v>0</v>
      </c>
      <c r="J53" s="66">
        <f t="shared" si="15"/>
        <v>0</v>
      </c>
      <c r="K53" s="66">
        <f t="shared" si="15"/>
        <v>0</v>
      </c>
      <c r="L53" s="66">
        <f t="shared" si="15"/>
        <v>0</v>
      </c>
      <c r="M53" s="66">
        <f t="shared" si="15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16">(F55-F53)/F55</f>
        <v>#REF!</v>
      </c>
      <c r="G56" s="74" t="e">
        <f t="shared" si="16"/>
        <v>#REF!</v>
      </c>
      <c r="H56" s="74" t="e">
        <f t="shared" si="16"/>
        <v>#REF!</v>
      </c>
      <c r="I56" s="74" t="e">
        <f t="shared" si="16"/>
        <v>#REF!</v>
      </c>
      <c r="J56" s="74" t="e">
        <f t="shared" si="16"/>
        <v>#REF!</v>
      </c>
      <c r="K56" s="74" t="e">
        <f t="shared" si="16"/>
        <v>#REF!</v>
      </c>
      <c r="L56" s="74" t="e">
        <f t="shared" si="16"/>
        <v>#REF!</v>
      </c>
      <c r="M56" s="74" t="e">
        <f t="shared" si="16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17">G30</f>
        <v>0</v>
      </c>
      <c r="H57" s="76">
        <f t="shared" si="17"/>
        <v>0</v>
      </c>
      <c r="I57" s="76">
        <f t="shared" si="17"/>
        <v>0</v>
      </c>
      <c r="J57" s="76">
        <f t="shared" si="17"/>
        <v>0</v>
      </c>
      <c r="K57" s="76">
        <f t="shared" si="17"/>
        <v>0</v>
      </c>
      <c r="L57" s="76">
        <f t="shared" si="17"/>
        <v>0</v>
      </c>
      <c r="M57" s="76">
        <f t="shared" si="17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9" si="18">G51</f>
        <v>0</v>
      </c>
      <c r="H58" s="14">
        <f t="shared" si="18"/>
        <v>0</v>
      </c>
      <c r="I58" s="14">
        <f t="shared" si="18"/>
        <v>0</v>
      </c>
      <c r="J58" s="14">
        <f t="shared" si="18"/>
        <v>0</v>
      </c>
      <c r="K58" s="14">
        <f t="shared" si="18"/>
        <v>0</v>
      </c>
      <c r="L58" s="14">
        <f t="shared" si="18"/>
        <v>0</v>
      </c>
      <c r="M58" s="14">
        <f t="shared" si="18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19">F52</f>
        <v>0</v>
      </c>
      <c r="G59" s="14">
        <f t="shared" si="19"/>
        <v>0</v>
      </c>
      <c r="H59" s="14">
        <f t="shared" si="19"/>
        <v>0</v>
      </c>
      <c r="I59" s="14">
        <f t="shared" si="18"/>
        <v>0</v>
      </c>
      <c r="J59" s="14">
        <f t="shared" si="18"/>
        <v>0</v>
      </c>
      <c r="K59" s="14">
        <f t="shared" si="19"/>
        <v>0</v>
      </c>
      <c r="L59" s="14">
        <f t="shared" si="19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20">SUM(G57:G59)</f>
        <v>0</v>
      </c>
      <c r="H60" s="62">
        <f t="shared" si="20"/>
        <v>0</v>
      </c>
      <c r="I60" s="62">
        <f t="shared" si="20"/>
        <v>0</v>
      </c>
      <c r="J60" s="62">
        <f t="shared" si="20"/>
        <v>0</v>
      </c>
      <c r="K60" s="62">
        <f t="shared" si="20"/>
        <v>0</v>
      </c>
      <c r="L60" s="62">
        <f t="shared" si="20"/>
        <v>0</v>
      </c>
      <c r="M60" s="62">
        <f t="shared" si="20"/>
        <v>0</v>
      </c>
      <c r="N60" s="77">
        <f t="shared" si="20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21">$N$60/F13</f>
        <v>0</v>
      </c>
      <c r="G61" s="77">
        <f t="shared" si="21"/>
        <v>0</v>
      </c>
      <c r="H61" s="62">
        <f t="shared" si="21"/>
        <v>0</v>
      </c>
      <c r="I61" s="77">
        <f t="shared" si="21"/>
        <v>0</v>
      </c>
      <c r="J61" s="77">
        <f t="shared" si="21"/>
        <v>0</v>
      </c>
      <c r="K61" s="77">
        <f t="shared" si="21"/>
        <v>0</v>
      </c>
      <c r="L61" s="77">
        <f t="shared" si="21"/>
        <v>0</v>
      </c>
      <c r="M61" s="77">
        <f t="shared" si="21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3</v>
      </c>
      <c r="E63" s="206"/>
      <c r="F63" s="80">
        <f t="shared" ref="F63:M63" si="22">SUM(F60:F62)</f>
        <v>0</v>
      </c>
      <c r="G63" s="80">
        <f t="shared" si="22"/>
        <v>0</v>
      </c>
      <c r="H63" s="80">
        <f t="shared" si="22"/>
        <v>0</v>
      </c>
      <c r="I63" s="80">
        <f t="shared" si="22"/>
        <v>0</v>
      </c>
      <c r="J63" s="80">
        <f t="shared" si="22"/>
        <v>0</v>
      </c>
      <c r="K63" s="80">
        <f t="shared" si="22"/>
        <v>0</v>
      </c>
      <c r="L63" s="80">
        <f t="shared" si="22"/>
        <v>0</v>
      </c>
      <c r="M63" s="80">
        <f t="shared" si="22"/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61:E61"/>
    <mergeCell ref="B2:C2"/>
    <mergeCell ref="B3:C3"/>
    <mergeCell ref="B6:D6"/>
    <mergeCell ref="B51:E51"/>
    <mergeCell ref="B52:E52"/>
    <mergeCell ref="F2:N2"/>
    <mergeCell ref="F3:N10"/>
    <mergeCell ref="D125:E125"/>
    <mergeCell ref="D126:E126"/>
    <mergeCell ref="D62:E62"/>
    <mergeCell ref="D63:E63"/>
    <mergeCell ref="B53:E53"/>
    <mergeCell ref="D56:E56"/>
    <mergeCell ref="D57:E57"/>
    <mergeCell ref="C58:E58"/>
    <mergeCell ref="D59:E59"/>
    <mergeCell ref="D60:E60"/>
    <mergeCell ref="B73:C73"/>
    <mergeCell ref="B117:E117"/>
    <mergeCell ref="B118:E118"/>
    <mergeCell ref="B119:E119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4" r:id="rId5" name="Check Box 10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6" name="Check Box 11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7" name="Check Box 1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8" name="Check Box 13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9" name="Check Box 14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0" name="Check Box 1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1" name="Check Box 16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12" name="Check Box 17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13" name="Check Box 1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14" name="Check Box 19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41</xdr:row>
                    <xdr:rowOff>0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15" name="Check Box 2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16" name="Check Box 2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90BDAD-E17E-4B92-8299-3B8ACC79B902}">
          <x14:formula1>
            <xm:f>'Top Assy'!$A$135:$A$174</xm:f>
          </x14:formula1>
          <xm:sqref>A14:A25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9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4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1">SUM(F16:F25)</f>
        <v>0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si="1"/>
        <v>0</v>
      </c>
      <c r="K26" s="17">
        <f t="shared" si="1"/>
        <v>0</v>
      </c>
      <c r="L26" s="17">
        <f t="shared" si="1"/>
        <v>0</v>
      </c>
      <c r="M26" s="17">
        <f t="shared" si="1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2">(($B$28/F13)+$C$28)/60</f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3">G26*$D$28</f>
        <v>0</v>
      </c>
      <c r="H28" s="20">
        <f t="shared" si="3"/>
        <v>0</v>
      </c>
      <c r="I28" s="20">
        <f t="shared" si="3"/>
        <v>0</v>
      </c>
      <c r="J28" s="20">
        <f t="shared" si="3"/>
        <v>0</v>
      </c>
      <c r="K28" s="20">
        <f t="shared" si="3"/>
        <v>0</v>
      </c>
      <c r="L28" s="20">
        <f t="shared" si="3"/>
        <v>0</v>
      </c>
      <c r="M28" s="20">
        <f t="shared" si="3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>F26+F28</f>
        <v>0</v>
      </c>
      <c r="G30" s="22">
        <f t="shared" ref="G30:M30" si="4">G26+G28</f>
        <v>0</v>
      </c>
      <c r="H30" s="22">
        <f t="shared" si="4"/>
        <v>0</v>
      </c>
      <c r="I30" s="22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5">"Qty: "&amp; F13</f>
        <v>Qty: 10</v>
      </c>
      <c r="G32" s="93" t="str">
        <f t="shared" si="5"/>
        <v>Qty: 25</v>
      </c>
      <c r="H32" s="93" t="str">
        <f t="shared" si="5"/>
        <v>Qty: 50</v>
      </c>
      <c r="I32" s="93" t="str">
        <f t="shared" si="5"/>
        <v>Qty: 75</v>
      </c>
      <c r="J32" s="93" t="str">
        <f t="shared" si="5"/>
        <v>Qty: 100</v>
      </c>
      <c r="K32" s="93" t="str">
        <f t="shared" si="5"/>
        <v>Qty: 250</v>
      </c>
      <c r="L32" s="93" t="str">
        <f t="shared" si="5"/>
        <v>Qty: 500</v>
      </c>
      <c r="M32" s="94" t="str">
        <f t="shared" si="5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6">C33*D33</f>
        <v>0</v>
      </c>
      <c r="F33" s="35">
        <f>IF($N33=TRUE,$E33/F$13,$E33*(1+(1/F$13)))</f>
        <v>0</v>
      </c>
      <c r="G33" s="35">
        <f t="shared" ref="G33:M44" si="7">IF($N33=TRUE,$E33/G$13,$E33*(1+(1/G$13)))</f>
        <v>0</v>
      </c>
      <c r="H33" s="35">
        <f t="shared" si="7"/>
        <v>0</v>
      </c>
      <c r="I33" s="35">
        <f t="shared" si="7"/>
        <v>0</v>
      </c>
      <c r="J33" s="35">
        <f t="shared" si="7"/>
        <v>0</v>
      </c>
      <c r="K33" s="35">
        <f t="shared" si="7"/>
        <v>0</v>
      </c>
      <c r="L33" s="35">
        <f t="shared" si="7"/>
        <v>0</v>
      </c>
      <c r="M33" s="35">
        <f t="shared" si="7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6"/>
        <v>0</v>
      </c>
      <c r="F34" s="35">
        <f t="shared" ref="F34:F44" si="8">IF($N34=TRUE,$E34/F$13,$E34*(1+(1/F$13)))</f>
        <v>0</v>
      </c>
      <c r="G34" s="35">
        <f t="shared" si="7"/>
        <v>0</v>
      </c>
      <c r="H34" s="35">
        <f t="shared" si="7"/>
        <v>0</v>
      </c>
      <c r="I34" s="35">
        <f t="shared" si="7"/>
        <v>0</v>
      </c>
      <c r="J34" s="35">
        <f t="shared" si="7"/>
        <v>0</v>
      </c>
      <c r="K34" s="35">
        <f t="shared" si="7"/>
        <v>0</v>
      </c>
      <c r="L34" s="35">
        <f t="shared" si="7"/>
        <v>0</v>
      </c>
      <c r="M34" s="35">
        <f t="shared" si="7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6"/>
        <v>0</v>
      </c>
      <c r="F35" s="35">
        <f t="shared" si="8"/>
        <v>0</v>
      </c>
      <c r="G35" s="35">
        <f t="shared" si="7"/>
        <v>0</v>
      </c>
      <c r="H35" s="35">
        <f t="shared" si="7"/>
        <v>0</v>
      </c>
      <c r="I35" s="35">
        <f t="shared" si="7"/>
        <v>0</v>
      </c>
      <c r="J35" s="35">
        <f t="shared" si="7"/>
        <v>0</v>
      </c>
      <c r="K35" s="35">
        <f t="shared" si="7"/>
        <v>0</v>
      </c>
      <c r="L35" s="35">
        <f t="shared" si="7"/>
        <v>0</v>
      </c>
      <c r="M35" s="35">
        <f t="shared" si="7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6"/>
        <v>0</v>
      </c>
      <c r="F36" s="35">
        <f t="shared" si="8"/>
        <v>0</v>
      </c>
      <c r="G36" s="35">
        <f t="shared" si="7"/>
        <v>0</v>
      </c>
      <c r="H36" s="35">
        <f t="shared" si="7"/>
        <v>0</v>
      </c>
      <c r="I36" s="35">
        <f t="shared" si="7"/>
        <v>0</v>
      </c>
      <c r="J36" s="35">
        <f t="shared" si="7"/>
        <v>0</v>
      </c>
      <c r="K36" s="35">
        <f t="shared" si="7"/>
        <v>0</v>
      </c>
      <c r="L36" s="35">
        <f t="shared" si="7"/>
        <v>0</v>
      </c>
      <c r="M36" s="35">
        <f t="shared" si="7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6"/>
        <v>0</v>
      </c>
      <c r="F37" s="35">
        <f t="shared" si="8"/>
        <v>0</v>
      </c>
      <c r="G37" s="35">
        <f t="shared" si="7"/>
        <v>0</v>
      </c>
      <c r="H37" s="35">
        <f t="shared" si="7"/>
        <v>0</v>
      </c>
      <c r="I37" s="35">
        <f t="shared" si="7"/>
        <v>0</v>
      </c>
      <c r="J37" s="35">
        <f t="shared" si="7"/>
        <v>0</v>
      </c>
      <c r="K37" s="35">
        <f t="shared" si="7"/>
        <v>0</v>
      </c>
      <c r="L37" s="35">
        <f t="shared" si="7"/>
        <v>0</v>
      </c>
      <c r="M37" s="35">
        <f t="shared" si="7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6"/>
        <v>0</v>
      </c>
      <c r="F38" s="35">
        <f t="shared" si="8"/>
        <v>0</v>
      </c>
      <c r="G38" s="35">
        <f t="shared" si="7"/>
        <v>0</v>
      </c>
      <c r="H38" s="35">
        <f t="shared" si="7"/>
        <v>0</v>
      </c>
      <c r="I38" s="35">
        <f t="shared" si="7"/>
        <v>0</v>
      </c>
      <c r="J38" s="35">
        <f t="shared" si="7"/>
        <v>0</v>
      </c>
      <c r="K38" s="35">
        <f t="shared" si="7"/>
        <v>0</v>
      </c>
      <c r="L38" s="35">
        <f t="shared" si="7"/>
        <v>0</v>
      </c>
      <c r="M38" s="35">
        <f t="shared" si="7"/>
        <v>0</v>
      </c>
      <c r="N38" s="160" t="b">
        <v>0</v>
      </c>
      <c r="O38" s="34"/>
      <c r="P38" s="34"/>
      <c r="Q38" s="34"/>
      <c r="R38" s="34"/>
      <c r="S38" s="34">
        <f>I13</f>
        <v>75</v>
      </c>
      <c r="T38" s="124">
        <f>I63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6"/>
        <v>0</v>
      </c>
      <c r="F39" s="35">
        <f t="shared" si="8"/>
        <v>0</v>
      </c>
      <c r="G39" s="35">
        <f t="shared" si="7"/>
        <v>0</v>
      </c>
      <c r="H39" s="35">
        <f t="shared" si="7"/>
        <v>0</v>
      </c>
      <c r="I39" s="35">
        <f t="shared" si="7"/>
        <v>0</v>
      </c>
      <c r="J39" s="35">
        <f t="shared" si="7"/>
        <v>0</v>
      </c>
      <c r="K39" s="35">
        <f t="shared" si="7"/>
        <v>0</v>
      </c>
      <c r="L39" s="35">
        <f t="shared" si="7"/>
        <v>0</v>
      </c>
      <c r="M39" s="35">
        <f t="shared" si="7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6"/>
        <v>0</v>
      </c>
      <c r="F40" s="35">
        <f t="shared" si="8"/>
        <v>0</v>
      </c>
      <c r="G40" s="35">
        <f t="shared" si="7"/>
        <v>0</v>
      </c>
      <c r="H40" s="35">
        <f t="shared" si="7"/>
        <v>0</v>
      </c>
      <c r="I40" s="35">
        <f t="shared" si="7"/>
        <v>0</v>
      </c>
      <c r="J40" s="35">
        <f t="shared" si="7"/>
        <v>0</v>
      </c>
      <c r="K40" s="35">
        <f t="shared" si="7"/>
        <v>0</v>
      </c>
      <c r="L40" s="35">
        <f t="shared" si="7"/>
        <v>0</v>
      </c>
      <c r="M40" s="35">
        <f t="shared" si="7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6"/>
        <v>0</v>
      </c>
      <c r="F41" s="35">
        <f t="shared" si="8"/>
        <v>0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0</v>
      </c>
      <c r="L41" s="35">
        <f t="shared" si="7"/>
        <v>0</v>
      </c>
      <c r="M41" s="35">
        <f t="shared" si="7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6"/>
        <v>0</v>
      </c>
      <c r="F42" s="35">
        <f t="shared" si="8"/>
        <v>0</v>
      </c>
      <c r="G42" s="35">
        <f t="shared" si="7"/>
        <v>0</v>
      </c>
      <c r="H42" s="35">
        <f t="shared" si="7"/>
        <v>0</v>
      </c>
      <c r="I42" s="35">
        <f t="shared" si="7"/>
        <v>0</v>
      </c>
      <c r="J42" s="35">
        <f t="shared" si="7"/>
        <v>0</v>
      </c>
      <c r="K42" s="35">
        <f t="shared" si="7"/>
        <v>0</v>
      </c>
      <c r="L42" s="35">
        <f t="shared" si="7"/>
        <v>0</v>
      </c>
      <c r="M42" s="35">
        <f t="shared" si="7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6"/>
        <v>0</v>
      </c>
      <c r="F43" s="35">
        <f t="shared" si="8"/>
        <v>0</v>
      </c>
      <c r="G43" s="35">
        <f t="shared" si="7"/>
        <v>0</v>
      </c>
      <c r="H43" s="35">
        <f t="shared" si="7"/>
        <v>0</v>
      </c>
      <c r="I43" s="35">
        <f t="shared" si="7"/>
        <v>0</v>
      </c>
      <c r="J43" s="35">
        <f t="shared" si="7"/>
        <v>0</v>
      </c>
      <c r="K43" s="35">
        <f t="shared" si="7"/>
        <v>0</v>
      </c>
      <c r="L43" s="35">
        <f t="shared" si="7"/>
        <v>0</v>
      </c>
      <c r="M43" s="35">
        <f t="shared" si="7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6"/>
        <v>0</v>
      </c>
      <c r="F44" s="35">
        <f t="shared" si="8"/>
        <v>0</v>
      </c>
      <c r="G44" s="35">
        <f t="shared" si="7"/>
        <v>0</v>
      </c>
      <c r="H44" s="35">
        <f t="shared" si="7"/>
        <v>0</v>
      </c>
      <c r="I44" s="35">
        <f t="shared" si="7"/>
        <v>0</v>
      </c>
      <c r="J44" s="35">
        <f t="shared" si="7"/>
        <v>0</v>
      </c>
      <c r="K44" s="35">
        <f t="shared" si="7"/>
        <v>0</v>
      </c>
      <c r="L44" s="35">
        <f t="shared" si="7"/>
        <v>0</v>
      </c>
      <c r="M44" s="35">
        <f t="shared" si="7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9">($D46/G$13)+$E46</f>
        <v>0</v>
      </c>
      <c r="H46" s="35">
        <f t="shared" si="9"/>
        <v>0</v>
      </c>
      <c r="I46" s="35">
        <f>($D46/I$13)+$E46</f>
        <v>0</v>
      </c>
      <c r="J46" s="35">
        <f t="shared" ref="J46:K50" si="10">($D46/J$13)+$E46</f>
        <v>0</v>
      </c>
      <c r="K46" s="35">
        <f>($D46/K$13)+$E46</f>
        <v>0</v>
      </c>
      <c r="L46" s="35">
        <f>($D46/L$13)+$E46</f>
        <v>0</v>
      </c>
      <c r="M46" s="35">
        <f>($D46/M$13)+$E46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9"/>
        <v>0</v>
      </c>
      <c r="H47" s="35">
        <f t="shared" si="9"/>
        <v>0</v>
      </c>
      <c r="I47" s="35">
        <f t="shared" si="9"/>
        <v>0</v>
      </c>
      <c r="J47" s="35">
        <f t="shared" si="10"/>
        <v>0</v>
      </c>
      <c r="K47" s="35">
        <f t="shared" si="10"/>
        <v>0</v>
      </c>
      <c r="L47" s="35">
        <f t="shared" si="9"/>
        <v>0</v>
      </c>
      <c r="M47" s="35">
        <f t="shared" si="9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1">($D48/F$13)+$E48</f>
        <v>0</v>
      </c>
      <c r="G48" s="35">
        <f t="shared" si="9"/>
        <v>0</v>
      </c>
      <c r="H48" s="35">
        <f t="shared" si="9"/>
        <v>0</v>
      </c>
      <c r="I48" s="35">
        <f t="shared" si="9"/>
        <v>0</v>
      </c>
      <c r="J48" s="35">
        <f t="shared" si="10"/>
        <v>0</v>
      </c>
      <c r="K48" s="35">
        <f t="shared" si="10"/>
        <v>0</v>
      </c>
      <c r="L48" s="35">
        <f t="shared" si="9"/>
        <v>0</v>
      </c>
      <c r="M48" s="35">
        <f t="shared" si="9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1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10"/>
        <v>0</v>
      </c>
      <c r="K49" s="35">
        <f t="shared" si="10"/>
        <v>0</v>
      </c>
      <c r="L49" s="35">
        <f t="shared" si="9"/>
        <v>0</v>
      </c>
      <c r="M49" s="35">
        <f t="shared" si="9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1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10"/>
        <v>0</v>
      </c>
      <c r="K50" s="35">
        <f t="shared" si="10"/>
        <v>0</v>
      </c>
      <c r="L50" s="35">
        <f t="shared" si="9"/>
        <v>0</v>
      </c>
      <c r="M50" s="35">
        <f t="shared" si="9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>SUM(F33:F44)</f>
        <v>0</v>
      </c>
      <c r="G51" s="63">
        <f t="shared" ref="G51:M51" si="12">SUM(G33:G44)</f>
        <v>0</v>
      </c>
      <c r="H51" s="63">
        <f t="shared" si="12"/>
        <v>0</v>
      </c>
      <c r="I51" s="63">
        <f t="shared" si="12"/>
        <v>0</v>
      </c>
      <c r="J51" s="63">
        <f t="shared" ref="J51" si="13">SUM(J33:J44)</f>
        <v>0</v>
      </c>
      <c r="K51" s="63">
        <f t="shared" ref="K51" si="14">SUM(K33:K44)</f>
        <v>0</v>
      </c>
      <c r="L51" s="63">
        <f t="shared" si="12"/>
        <v>0</v>
      </c>
      <c r="M51" s="63">
        <f t="shared" si="12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5">SUM(G46:G50)</f>
        <v>0</v>
      </c>
      <c r="H52" s="15">
        <f t="shared" si="15"/>
        <v>0</v>
      </c>
      <c r="I52" s="15">
        <f t="shared" si="15"/>
        <v>0</v>
      </c>
      <c r="J52" s="15">
        <f t="shared" si="15"/>
        <v>0</v>
      </c>
      <c r="K52" s="15">
        <f t="shared" si="15"/>
        <v>0</v>
      </c>
      <c r="L52" s="15">
        <f t="shared" si="15"/>
        <v>0</v>
      </c>
      <c r="M52" s="15">
        <f t="shared" si="15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16">SUM(G30+G51+G52)</f>
        <v>0</v>
      </c>
      <c r="H53" s="66">
        <f t="shared" si="16"/>
        <v>0</v>
      </c>
      <c r="I53" s="66">
        <f t="shared" si="16"/>
        <v>0</v>
      </c>
      <c r="J53" s="66">
        <f t="shared" si="16"/>
        <v>0</v>
      </c>
      <c r="K53" s="66">
        <f t="shared" si="16"/>
        <v>0</v>
      </c>
      <c r="L53" s="66">
        <f t="shared" si="16"/>
        <v>0</v>
      </c>
      <c r="M53" s="66">
        <f t="shared" si="16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17">(F55-F53)/F55</f>
        <v>#REF!</v>
      </c>
      <c r="G56" s="74" t="e">
        <f t="shared" si="17"/>
        <v>#REF!</v>
      </c>
      <c r="H56" s="74" t="e">
        <f t="shared" si="17"/>
        <v>#REF!</v>
      </c>
      <c r="I56" s="74" t="e">
        <f t="shared" si="17"/>
        <v>#REF!</v>
      </c>
      <c r="J56" s="74" t="e">
        <f t="shared" si="17"/>
        <v>#REF!</v>
      </c>
      <c r="K56" s="74" t="e">
        <f t="shared" si="17"/>
        <v>#REF!</v>
      </c>
      <c r="L56" s="74" t="e">
        <f t="shared" si="17"/>
        <v>#REF!</v>
      </c>
      <c r="M56" s="74" t="e">
        <f t="shared" si="17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18">G30</f>
        <v>0</v>
      </c>
      <c r="H57" s="76">
        <f t="shared" si="18"/>
        <v>0</v>
      </c>
      <c r="I57" s="76">
        <f t="shared" si="18"/>
        <v>0</v>
      </c>
      <c r="J57" s="76">
        <f t="shared" si="18"/>
        <v>0</v>
      </c>
      <c r="K57" s="76">
        <f t="shared" si="18"/>
        <v>0</v>
      </c>
      <c r="L57" s="76">
        <f t="shared" si="18"/>
        <v>0</v>
      </c>
      <c r="M57" s="76">
        <f t="shared" si="18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9" si="19">G51</f>
        <v>0</v>
      </c>
      <c r="H58" s="14">
        <f t="shared" si="19"/>
        <v>0</v>
      </c>
      <c r="I58" s="14">
        <f t="shared" si="19"/>
        <v>0</v>
      </c>
      <c r="J58" s="14">
        <f t="shared" si="19"/>
        <v>0</v>
      </c>
      <c r="K58" s="14">
        <f t="shared" si="19"/>
        <v>0</v>
      </c>
      <c r="L58" s="14">
        <f t="shared" si="19"/>
        <v>0</v>
      </c>
      <c r="M58" s="14">
        <f t="shared" si="19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20">F52</f>
        <v>0</v>
      </c>
      <c r="G59" s="14">
        <f t="shared" si="20"/>
        <v>0</v>
      </c>
      <c r="H59" s="14">
        <f t="shared" si="20"/>
        <v>0</v>
      </c>
      <c r="I59" s="14">
        <f t="shared" si="20"/>
        <v>0</v>
      </c>
      <c r="J59" s="14">
        <f t="shared" si="19"/>
        <v>0</v>
      </c>
      <c r="K59" s="14">
        <f t="shared" si="19"/>
        <v>0</v>
      </c>
      <c r="L59" s="14">
        <f t="shared" si="20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21">SUM(G57:G59)</f>
        <v>0</v>
      </c>
      <c r="H60" s="62">
        <f t="shared" si="21"/>
        <v>0</v>
      </c>
      <c r="I60" s="62">
        <f t="shared" si="21"/>
        <v>0</v>
      </c>
      <c r="J60" s="62">
        <f t="shared" si="21"/>
        <v>0</v>
      </c>
      <c r="K60" s="62">
        <f t="shared" si="21"/>
        <v>0</v>
      </c>
      <c r="L60" s="62">
        <f t="shared" si="21"/>
        <v>0</v>
      </c>
      <c r="M60" s="62">
        <f t="shared" si="21"/>
        <v>0</v>
      </c>
      <c r="N60" s="77">
        <f t="shared" si="21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22">$N$60/F13</f>
        <v>0</v>
      </c>
      <c r="G61" s="77">
        <f t="shared" si="22"/>
        <v>0</v>
      </c>
      <c r="H61" s="62">
        <f t="shared" si="22"/>
        <v>0</v>
      </c>
      <c r="I61" s="77">
        <f t="shared" si="22"/>
        <v>0</v>
      </c>
      <c r="J61" s="77">
        <f t="shared" si="22"/>
        <v>0</v>
      </c>
      <c r="K61" s="77">
        <f t="shared" si="22"/>
        <v>0</v>
      </c>
      <c r="L61" s="77">
        <f t="shared" si="22"/>
        <v>0</v>
      </c>
      <c r="M61" s="77">
        <f t="shared" si="22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4</v>
      </c>
      <c r="E63" s="206"/>
      <c r="F63" s="80">
        <f>SUM(F60:F62)</f>
        <v>0</v>
      </c>
      <c r="G63" s="80">
        <f t="shared" ref="G63:M63" si="23">SUM(G60:G62)</f>
        <v>0</v>
      </c>
      <c r="H63" s="80">
        <f t="shared" si="23"/>
        <v>0</v>
      </c>
      <c r="I63" s="80">
        <f t="shared" si="23"/>
        <v>0</v>
      </c>
      <c r="J63" s="80">
        <f t="shared" si="23"/>
        <v>0</v>
      </c>
      <c r="K63" s="80">
        <f t="shared" si="23"/>
        <v>0</v>
      </c>
      <c r="L63" s="80">
        <f t="shared" si="23"/>
        <v>0</v>
      </c>
      <c r="M63" s="80">
        <f t="shared" si="23"/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61:E61"/>
    <mergeCell ref="B2:C2"/>
    <mergeCell ref="B3:C3"/>
    <mergeCell ref="B6:D6"/>
    <mergeCell ref="B51:E51"/>
    <mergeCell ref="B52:E52"/>
    <mergeCell ref="F2:N2"/>
    <mergeCell ref="F3:N10"/>
    <mergeCell ref="D125:E125"/>
    <mergeCell ref="D126:E126"/>
    <mergeCell ref="D62:E62"/>
    <mergeCell ref="D63:E63"/>
    <mergeCell ref="B53:E53"/>
    <mergeCell ref="D56:E56"/>
    <mergeCell ref="D57:E57"/>
    <mergeCell ref="C58:E58"/>
    <mergeCell ref="D59:E59"/>
    <mergeCell ref="D60:E60"/>
    <mergeCell ref="B73:C73"/>
    <mergeCell ref="B117:E117"/>
    <mergeCell ref="B118:E118"/>
    <mergeCell ref="B119:E119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90" r:id="rId5" name="Check Box 2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6" name="Check Box 23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7" name="Check Box 24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8" name="Check Box 2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9" name="Check Box 26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5" r:id="rId10" name="Check Box 27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11" name="Check Box 2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7" r:id="rId12" name="Check Box 29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8" r:id="rId13" name="Check Box 3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9" r:id="rId14" name="Check Box 3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41</xdr:row>
                    <xdr:rowOff>0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0" r:id="rId15" name="Check Box 32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1" r:id="rId16" name="Check Box 33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EAA684-49FB-421B-B80F-358BE1C33F61}">
          <x14:formula1>
            <xm:f>'Top Assy'!$A$135:$A$174</xm:f>
          </x14:formula1>
          <xm:sqref>A14:A25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bestFit="1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9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5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1">SUM(F16:F25)</f>
        <v>0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si="1"/>
        <v>0</v>
      </c>
      <c r="K26" s="17">
        <f t="shared" si="1"/>
        <v>0</v>
      </c>
      <c r="L26" s="17">
        <f t="shared" si="1"/>
        <v>0</v>
      </c>
      <c r="M26" s="17">
        <f t="shared" si="1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2">(($B$28/F13)+$C$28)/60</f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3">G26*$D$28</f>
        <v>0</v>
      </c>
      <c r="H28" s="20">
        <f t="shared" si="3"/>
        <v>0</v>
      </c>
      <c r="I28" s="20">
        <f t="shared" si="3"/>
        <v>0</v>
      </c>
      <c r="J28" s="20">
        <f t="shared" si="3"/>
        <v>0</v>
      </c>
      <c r="K28" s="20">
        <f t="shared" si="3"/>
        <v>0</v>
      </c>
      <c r="L28" s="20">
        <f t="shared" si="3"/>
        <v>0</v>
      </c>
      <c r="M28" s="20">
        <f t="shared" si="3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>F26+F28</f>
        <v>0</v>
      </c>
      <c r="G30" s="22">
        <f t="shared" ref="G30:M30" si="4">G26+G28</f>
        <v>0</v>
      </c>
      <c r="H30" s="22">
        <f t="shared" si="4"/>
        <v>0</v>
      </c>
      <c r="I30" s="22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5">"Qty: "&amp; F13</f>
        <v>Qty: 10</v>
      </c>
      <c r="G32" s="93" t="str">
        <f t="shared" si="5"/>
        <v>Qty: 25</v>
      </c>
      <c r="H32" s="93" t="str">
        <f t="shared" si="5"/>
        <v>Qty: 50</v>
      </c>
      <c r="I32" s="93" t="str">
        <f t="shared" si="5"/>
        <v>Qty: 75</v>
      </c>
      <c r="J32" s="93" t="str">
        <f t="shared" si="5"/>
        <v>Qty: 100</v>
      </c>
      <c r="K32" s="93" t="str">
        <f t="shared" si="5"/>
        <v>Qty: 250</v>
      </c>
      <c r="L32" s="93" t="str">
        <f t="shared" si="5"/>
        <v>Qty: 500</v>
      </c>
      <c r="M32" s="94" t="str">
        <f t="shared" si="5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6">C33*D33</f>
        <v>0</v>
      </c>
      <c r="F33" s="35">
        <f>IF($N33=TRUE,$E33/F$13,$E33*(1+(1/F$13)))</f>
        <v>0</v>
      </c>
      <c r="G33" s="35">
        <f t="shared" ref="G33:M44" si="7">IF($N33=TRUE,$E33/G$13,$E33*(1+(1/G$13)))</f>
        <v>0</v>
      </c>
      <c r="H33" s="35">
        <f t="shared" si="7"/>
        <v>0</v>
      </c>
      <c r="I33" s="35">
        <f t="shared" si="7"/>
        <v>0</v>
      </c>
      <c r="J33" s="35">
        <f t="shared" si="7"/>
        <v>0</v>
      </c>
      <c r="K33" s="35">
        <f t="shared" si="7"/>
        <v>0</v>
      </c>
      <c r="L33" s="35">
        <f t="shared" si="7"/>
        <v>0</v>
      </c>
      <c r="M33" s="35">
        <f t="shared" si="7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6"/>
        <v>0</v>
      </c>
      <c r="F34" s="35">
        <f t="shared" ref="F34:F44" si="8">IF($N34=TRUE,$E34/F$13,$E34*(1+(1/F$13)))</f>
        <v>0</v>
      </c>
      <c r="G34" s="35">
        <f t="shared" si="7"/>
        <v>0</v>
      </c>
      <c r="H34" s="35">
        <f t="shared" si="7"/>
        <v>0</v>
      </c>
      <c r="I34" s="35">
        <f t="shared" si="7"/>
        <v>0</v>
      </c>
      <c r="J34" s="35">
        <f t="shared" si="7"/>
        <v>0</v>
      </c>
      <c r="K34" s="35">
        <f t="shared" si="7"/>
        <v>0</v>
      </c>
      <c r="L34" s="35">
        <f t="shared" si="7"/>
        <v>0</v>
      </c>
      <c r="M34" s="35">
        <f t="shared" si="7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6"/>
        <v>0</v>
      </c>
      <c r="F35" s="35">
        <f t="shared" si="8"/>
        <v>0</v>
      </c>
      <c r="G35" s="35">
        <f t="shared" si="7"/>
        <v>0</v>
      </c>
      <c r="H35" s="35">
        <f t="shared" si="7"/>
        <v>0</v>
      </c>
      <c r="I35" s="35">
        <f t="shared" si="7"/>
        <v>0</v>
      </c>
      <c r="J35" s="35">
        <f t="shared" si="7"/>
        <v>0</v>
      </c>
      <c r="K35" s="35">
        <f t="shared" si="7"/>
        <v>0</v>
      </c>
      <c r="L35" s="35">
        <f t="shared" si="7"/>
        <v>0</v>
      </c>
      <c r="M35" s="35">
        <f t="shared" si="7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6"/>
        <v>0</v>
      </c>
      <c r="F36" s="35">
        <f t="shared" si="8"/>
        <v>0</v>
      </c>
      <c r="G36" s="35">
        <f t="shared" si="7"/>
        <v>0</v>
      </c>
      <c r="H36" s="35">
        <f t="shared" si="7"/>
        <v>0</v>
      </c>
      <c r="I36" s="35">
        <f t="shared" si="7"/>
        <v>0</v>
      </c>
      <c r="J36" s="35">
        <f t="shared" si="7"/>
        <v>0</v>
      </c>
      <c r="K36" s="35">
        <f t="shared" si="7"/>
        <v>0</v>
      </c>
      <c r="L36" s="35">
        <f t="shared" si="7"/>
        <v>0</v>
      </c>
      <c r="M36" s="35">
        <f t="shared" si="7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6"/>
        <v>0</v>
      </c>
      <c r="F37" s="35">
        <f t="shared" si="8"/>
        <v>0</v>
      </c>
      <c r="G37" s="35">
        <f t="shared" si="7"/>
        <v>0</v>
      </c>
      <c r="H37" s="35">
        <f t="shared" si="7"/>
        <v>0</v>
      </c>
      <c r="I37" s="35">
        <f t="shared" si="7"/>
        <v>0</v>
      </c>
      <c r="J37" s="35">
        <f t="shared" si="7"/>
        <v>0</v>
      </c>
      <c r="K37" s="35">
        <f t="shared" si="7"/>
        <v>0</v>
      </c>
      <c r="L37" s="35">
        <f t="shared" si="7"/>
        <v>0</v>
      </c>
      <c r="M37" s="35">
        <f t="shared" si="7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6"/>
        <v>0</v>
      </c>
      <c r="F38" s="35">
        <f t="shared" si="8"/>
        <v>0</v>
      </c>
      <c r="G38" s="35">
        <f t="shared" si="7"/>
        <v>0</v>
      </c>
      <c r="H38" s="35">
        <f t="shared" si="7"/>
        <v>0</v>
      </c>
      <c r="I38" s="35">
        <f t="shared" si="7"/>
        <v>0</v>
      </c>
      <c r="J38" s="35">
        <f t="shared" si="7"/>
        <v>0</v>
      </c>
      <c r="K38" s="35">
        <f t="shared" si="7"/>
        <v>0</v>
      </c>
      <c r="L38" s="35">
        <f t="shared" si="7"/>
        <v>0</v>
      </c>
      <c r="M38" s="35">
        <f t="shared" si="7"/>
        <v>0</v>
      </c>
      <c r="N38" s="160" t="b">
        <v>0</v>
      </c>
      <c r="O38" s="34"/>
      <c r="P38" s="34"/>
      <c r="Q38" s="34"/>
      <c r="R38" s="34"/>
      <c r="S38" s="34">
        <f>I13</f>
        <v>75</v>
      </c>
      <c r="T38" s="124">
        <f>I63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6"/>
        <v>0</v>
      </c>
      <c r="F39" s="35">
        <f t="shared" si="8"/>
        <v>0</v>
      </c>
      <c r="G39" s="35">
        <f t="shared" si="7"/>
        <v>0</v>
      </c>
      <c r="H39" s="35">
        <f t="shared" si="7"/>
        <v>0</v>
      </c>
      <c r="I39" s="35">
        <f t="shared" si="7"/>
        <v>0</v>
      </c>
      <c r="J39" s="35">
        <f t="shared" si="7"/>
        <v>0</v>
      </c>
      <c r="K39" s="35">
        <f t="shared" si="7"/>
        <v>0</v>
      </c>
      <c r="L39" s="35">
        <f t="shared" si="7"/>
        <v>0</v>
      </c>
      <c r="M39" s="35">
        <f t="shared" si="7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6"/>
        <v>0</v>
      </c>
      <c r="F40" s="35">
        <f t="shared" si="8"/>
        <v>0</v>
      </c>
      <c r="G40" s="35">
        <f t="shared" si="7"/>
        <v>0</v>
      </c>
      <c r="H40" s="35">
        <f t="shared" si="7"/>
        <v>0</v>
      </c>
      <c r="I40" s="35">
        <f t="shared" si="7"/>
        <v>0</v>
      </c>
      <c r="J40" s="35">
        <f t="shared" si="7"/>
        <v>0</v>
      </c>
      <c r="K40" s="35">
        <f t="shared" si="7"/>
        <v>0</v>
      </c>
      <c r="L40" s="35">
        <f t="shared" si="7"/>
        <v>0</v>
      </c>
      <c r="M40" s="35">
        <f t="shared" si="7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6"/>
        <v>0</v>
      </c>
      <c r="F41" s="35">
        <f t="shared" si="8"/>
        <v>0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0</v>
      </c>
      <c r="L41" s="35">
        <f t="shared" si="7"/>
        <v>0</v>
      </c>
      <c r="M41" s="35">
        <f t="shared" si="7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6"/>
        <v>0</v>
      </c>
      <c r="F42" s="35">
        <f t="shared" si="8"/>
        <v>0</v>
      </c>
      <c r="G42" s="35">
        <f t="shared" si="7"/>
        <v>0</v>
      </c>
      <c r="H42" s="35">
        <f t="shared" si="7"/>
        <v>0</v>
      </c>
      <c r="I42" s="35">
        <f t="shared" si="7"/>
        <v>0</v>
      </c>
      <c r="J42" s="35">
        <f t="shared" si="7"/>
        <v>0</v>
      </c>
      <c r="K42" s="35">
        <f t="shared" si="7"/>
        <v>0</v>
      </c>
      <c r="L42" s="35">
        <f t="shared" si="7"/>
        <v>0</v>
      </c>
      <c r="M42" s="35">
        <f t="shared" si="7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6"/>
        <v>0</v>
      </c>
      <c r="F43" s="35">
        <f t="shared" si="8"/>
        <v>0</v>
      </c>
      <c r="G43" s="35">
        <f t="shared" si="7"/>
        <v>0</v>
      </c>
      <c r="H43" s="35">
        <f t="shared" si="7"/>
        <v>0</v>
      </c>
      <c r="I43" s="35">
        <f t="shared" si="7"/>
        <v>0</v>
      </c>
      <c r="J43" s="35">
        <f t="shared" si="7"/>
        <v>0</v>
      </c>
      <c r="K43" s="35">
        <f t="shared" si="7"/>
        <v>0</v>
      </c>
      <c r="L43" s="35">
        <f t="shared" si="7"/>
        <v>0</v>
      </c>
      <c r="M43" s="35">
        <f t="shared" si="7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6"/>
        <v>0</v>
      </c>
      <c r="F44" s="35">
        <f t="shared" si="8"/>
        <v>0</v>
      </c>
      <c r="G44" s="35">
        <f t="shared" si="7"/>
        <v>0</v>
      </c>
      <c r="H44" s="35">
        <f t="shared" si="7"/>
        <v>0</v>
      </c>
      <c r="I44" s="35">
        <f t="shared" si="7"/>
        <v>0</v>
      </c>
      <c r="J44" s="35">
        <f t="shared" si="7"/>
        <v>0</v>
      </c>
      <c r="K44" s="35">
        <f t="shared" si="7"/>
        <v>0</v>
      </c>
      <c r="L44" s="35">
        <f t="shared" si="7"/>
        <v>0</v>
      </c>
      <c r="M44" s="35">
        <f t="shared" si="7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9">($D46/G$13)+$E46</f>
        <v>0</v>
      </c>
      <c r="H46" s="35">
        <f t="shared" si="9"/>
        <v>0</v>
      </c>
      <c r="I46" s="35">
        <f>($D46/I$13)+$E46</f>
        <v>0</v>
      </c>
      <c r="J46" s="35">
        <f t="shared" ref="J46:K50" si="10">($D46/J$13)+$E46</f>
        <v>0</v>
      </c>
      <c r="K46" s="35">
        <f>($D46/K$13)+$E46</f>
        <v>0</v>
      </c>
      <c r="L46" s="35">
        <f>($D46/L$13)+$E46</f>
        <v>0</v>
      </c>
      <c r="M46" s="35">
        <f>($D46/M$13)+$E46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9"/>
        <v>0</v>
      </c>
      <c r="H47" s="35">
        <f t="shared" si="9"/>
        <v>0</v>
      </c>
      <c r="I47" s="35">
        <f t="shared" si="9"/>
        <v>0</v>
      </c>
      <c r="J47" s="35">
        <f t="shared" si="10"/>
        <v>0</v>
      </c>
      <c r="K47" s="35">
        <f t="shared" si="10"/>
        <v>0</v>
      </c>
      <c r="L47" s="35">
        <f t="shared" si="9"/>
        <v>0</v>
      </c>
      <c r="M47" s="35">
        <f t="shared" si="9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1">($D48/F$13)+$E48</f>
        <v>0</v>
      </c>
      <c r="G48" s="35">
        <f t="shared" si="9"/>
        <v>0</v>
      </c>
      <c r="H48" s="35">
        <f t="shared" si="9"/>
        <v>0</v>
      </c>
      <c r="I48" s="35">
        <f t="shared" si="9"/>
        <v>0</v>
      </c>
      <c r="J48" s="35">
        <f t="shared" si="10"/>
        <v>0</v>
      </c>
      <c r="K48" s="35">
        <f t="shared" si="10"/>
        <v>0</v>
      </c>
      <c r="L48" s="35">
        <f t="shared" si="9"/>
        <v>0</v>
      </c>
      <c r="M48" s="35">
        <f t="shared" si="9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1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10"/>
        <v>0</v>
      </c>
      <c r="K49" s="35">
        <f t="shared" si="10"/>
        <v>0</v>
      </c>
      <c r="L49" s="35">
        <f t="shared" si="9"/>
        <v>0</v>
      </c>
      <c r="M49" s="35">
        <f t="shared" si="9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1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10"/>
        <v>0</v>
      </c>
      <c r="K50" s="35">
        <f t="shared" si="10"/>
        <v>0</v>
      </c>
      <c r="L50" s="35">
        <f t="shared" si="9"/>
        <v>0</v>
      </c>
      <c r="M50" s="35">
        <f t="shared" si="9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>SUM(F33:F44)</f>
        <v>0</v>
      </c>
      <c r="G51" s="63">
        <f t="shared" ref="G51:M51" si="12">SUM(G33:G44)</f>
        <v>0</v>
      </c>
      <c r="H51" s="63">
        <f t="shared" si="12"/>
        <v>0</v>
      </c>
      <c r="I51" s="63">
        <f t="shared" si="12"/>
        <v>0</v>
      </c>
      <c r="J51" s="63">
        <f t="shared" ref="J51" si="13">SUM(J33:J44)</f>
        <v>0</v>
      </c>
      <c r="K51" s="63">
        <f t="shared" ref="K51" si="14">SUM(K33:K44)</f>
        <v>0</v>
      </c>
      <c r="L51" s="63">
        <f t="shared" si="12"/>
        <v>0</v>
      </c>
      <c r="M51" s="63">
        <f t="shared" si="12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5">SUM(G46:G50)</f>
        <v>0</v>
      </c>
      <c r="H52" s="15">
        <f t="shared" si="15"/>
        <v>0</v>
      </c>
      <c r="I52" s="15">
        <f t="shared" si="15"/>
        <v>0</v>
      </c>
      <c r="J52" s="15">
        <f t="shared" si="15"/>
        <v>0</v>
      </c>
      <c r="K52" s="15">
        <f t="shared" si="15"/>
        <v>0</v>
      </c>
      <c r="L52" s="15">
        <f t="shared" si="15"/>
        <v>0</v>
      </c>
      <c r="M52" s="15">
        <f t="shared" si="15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16">SUM(G30+G51+G52)</f>
        <v>0</v>
      </c>
      <c r="H53" s="66">
        <f t="shared" si="16"/>
        <v>0</v>
      </c>
      <c r="I53" s="66">
        <f t="shared" si="16"/>
        <v>0</v>
      </c>
      <c r="J53" s="66">
        <f t="shared" si="16"/>
        <v>0</v>
      </c>
      <c r="K53" s="66">
        <f t="shared" si="16"/>
        <v>0</v>
      </c>
      <c r="L53" s="66">
        <f t="shared" si="16"/>
        <v>0</v>
      </c>
      <c r="M53" s="66">
        <f t="shared" si="16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17">(F55-F53)/F55</f>
        <v>#REF!</v>
      </c>
      <c r="G56" s="74" t="e">
        <f t="shared" si="17"/>
        <v>#REF!</v>
      </c>
      <c r="H56" s="74" t="e">
        <f t="shared" si="17"/>
        <v>#REF!</v>
      </c>
      <c r="I56" s="74" t="e">
        <f t="shared" si="17"/>
        <v>#REF!</v>
      </c>
      <c r="J56" s="74" t="e">
        <f t="shared" si="17"/>
        <v>#REF!</v>
      </c>
      <c r="K56" s="74" t="e">
        <f t="shared" si="17"/>
        <v>#REF!</v>
      </c>
      <c r="L56" s="74" t="e">
        <f t="shared" si="17"/>
        <v>#REF!</v>
      </c>
      <c r="M56" s="74" t="e">
        <f t="shared" si="17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18">G30</f>
        <v>0</v>
      </c>
      <c r="H57" s="76">
        <f t="shared" si="18"/>
        <v>0</v>
      </c>
      <c r="I57" s="76">
        <f t="shared" si="18"/>
        <v>0</v>
      </c>
      <c r="J57" s="76">
        <f t="shared" si="18"/>
        <v>0</v>
      </c>
      <c r="K57" s="76">
        <f t="shared" si="18"/>
        <v>0</v>
      </c>
      <c r="L57" s="76">
        <f t="shared" si="18"/>
        <v>0</v>
      </c>
      <c r="M57" s="76">
        <f t="shared" si="18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9" si="19">G51</f>
        <v>0</v>
      </c>
      <c r="H58" s="14">
        <f t="shared" si="19"/>
        <v>0</v>
      </c>
      <c r="I58" s="14">
        <f t="shared" si="19"/>
        <v>0</v>
      </c>
      <c r="J58" s="14">
        <f t="shared" si="19"/>
        <v>0</v>
      </c>
      <c r="K58" s="14">
        <f t="shared" si="19"/>
        <v>0</v>
      </c>
      <c r="L58" s="14">
        <f t="shared" si="19"/>
        <v>0</v>
      </c>
      <c r="M58" s="14">
        <f t="shared" si="19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20">F52</f>
        <v>0</v>
      </c>
      <c r="G59" s="14">
        <f t="shared" si="20"/>
        <v>0</v>
      </c>
      <c r="H59" s="14">
        <f t="shared" si="20"/>
        <v>0</v>
      </c>
      <c r="I59" s="14">
        <f t="shared" si="20"/>
        <v>0</v>
      </c>
      <c r="J59" s="14">
        <f t="shared" si="19"/>
        <v>0</v>
      </c>
      <c r="K59" s="14">
        <f t="shared" si="19"/>
        <v>0</v>
      </c>
      <c r="L59" s="14">
        <f t="shared" si="20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21">SUM(G57:G59)</f>
        <v>0</v>
      </c>
      <c r="H60" s="62">
        <f t="shared" si="21"/>
        <v>0</v>
      </c>
      <c r="I60" s="62">
        <f t="shared" si="21"/>
        <v>0</v>
      </c>
      <c r="J60" s="62">
        <f t="shared" si="21"/>
        <v>0</v>
      </c>
      <c r="K60" s="62">
        <f t="shared" si="21"/>
        <v>0</v>
      </c>
      <c r="L60" s="62">
        <f t="shared" si="21"/>
        <v>0</v>
      </c>
      <c r="M60" s="62">
        <f t="shared" si="21"/>
        <v>0</v>
      </c>
      <c r="N60" s="77">
        <f t="shared" si="21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22">$N$60/F13</f>
        <v>0</v>
      </c>
      <c r="G61" s="77">
        <f t="shared" si="22"/>
        <v>0</v>
      </c>
      <c r="H61" s="62">
        <f t="shared" si="22"/>
        <v>0</v>
      </c>
      <c r="I61" s="77">
        <f t="shared" si="22"/>
        <v>0</v>
      </c>
      <c r="J61" s="77">
        <f t="shared" si="22"/>
        <v>0</v>
      </c>
      <c r="K61" s="77">
        <f t="shared" si="22"/>
        <v>0</v>
      </c>
      <c r="L61" s="77">
        <f t="shared" si="22"/>
        <v>0</v>
      </c>
      <c r="M61" s="77">
        <f t="shared" si="22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5</v>
      </c>
      <c r="E63" s="206"/>
      <c r="F63" s="80">
        <f>SUM(F60:F62)</f>
        <v>0</v>
      </c>
      <c r="G63" s="80">
        <f t="shared" ref="G63:M63" si="23">SUM(G60:G62)</f>
        <v>0</v>
      </c>
      <c r="H63" s="80">
        <f t="shared" si="23"/>
        <v>0</v>
      </c>
      <c r="I63" s="80">
        <f t="shared" si="23"/>
        <v>0</v>
      </c>
      <c r="J63" s="80">
        <f t="shared" si="23"/>
        <v>0</v>
      </c>
      <c r="K63" s="80">
        <f t="shared" si="23"/>
        <v>0</v>
      </c>
      <c r="L63" s="80">
        <f t="shared" si="23"/>
        <v>0</v>
      </c>
      <c r="M63" s="80">
        <f t="shared" si="23"/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61:E61"/>
    <mergeCell ref="B2:C2"/>
    <mergeCell ref="B3:C3"/>
    <mergeCell ref="B6:D6"/>
    <mergeCell ref="B51:E51"/>
    <mergeCell ref="B52:E52"/>
    <mergeCell ref="F2:N2"/>
    <mergeCell ref="F3:N10"/>
    <mergeCell ref="D125:E125"/>
    <mergeCell ref="D126:E126"/>
    <mergeCell ref="D62:E62"/>
    <mergeCell ref="D63:E63"/>
    <mergeCell ref="B53:E53"/>
    <mergeCell ref="D56:E56"/>
    <mergeCell ref="D57:E57"/>
    <mergeCell ref="C58:E58"/>
    <mergeCell ref="D59:E59"/>
    <mergeCell ref="D60:E60"/>
    <mergeCell ref="B73:C73"/>
    <mergeCell ref="B117:E117"/>
    <mergeCell ref="B118:E118"/>
    <mergeCell ref="B119:E119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202" r:id="rId5" name="Check Box 10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3" r:id="rId6" name="Check Box 11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4" r:id="rId7" name="Check Box 1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5" r:id="rId8" name="Check Box 13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6" r:id="rId9" name="Check Box 14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7" r:id="rId10" name="Check Box 1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8" r:id="rId11" name="Check Box 16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09" r:id="rId12" name="Check Box 17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0" r:id="rId13" name="Check Box 1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1" r:id="rId14" name="Check Box 19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41</xdr:row>
                    <xdr:rowOff>0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2" r:id="rId15" name="Check Box 2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213" r:id="rId16" name="Check Box 2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2DE294-64BB-42EF-9921-275775C398A9}">
          <x14:formula1>
            <xm:f>'Top Assy'!$A$135:$A$174</xm:f>
          </x14:formula1>
          <xm:sqref>A14:A25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bestFit="1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9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6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1">SUM(F16:F25)</f>
        <v>0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si="1"/>
        <v>0</v>
      </c>
      <c r="K26" s="17">
        <f t="shared" si="1"/>
        <v>0</v>
      </c>
      <c r="L26" s="17">
        <f t="shared" si="1"/>
        <v>0</v>
      </c>
      <c r="M26" s="17">
        <f t="shared" si="1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2">(($B$28/F13)+$C$28)/60</f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3">G26*$D$28</f>
        <v>0</v>
      </c>
      <c r="H28" s="20">
        <f t="shared" si="3"/>
        <v>0</v>
      </c>
      <c r="I28" s="20">
        <f t="shared" si="3"/>
        <v>0</v>
      </c>
      <c r="J28" s="20">
        <f t="shared" si="3"/>
        <v>0</v>
      </c>
      <c r="K28" s="20">
        <f t="shared" si="3"/>
        <v>0</v>
      </c>
      <c r="L28" s="20">
        <f t="shared" si="3"/>
        <v>0</v>
      </c>
      <c r="M28" s="20">
        <f t="shared" si="3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>F26+F28</f>
        <v>0</v>
      </c>
      <c r="G30" s="22">
        <f t="shared" ref="G30:M30" si="4">G26+G28</f>
        <v>0</v>
      </c>
      <c r="H30" s="22">
        <f t="shared" si="4"/>
        <v>0</v>
      </c>
      <c r="I30" s="22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5">"Qty: "&amp; F13</f>
        <v>Qty: 10</v>
      </c>
      <c r="G32" s="93" t="str">
        <f t="shared" si="5"/>
        <v>Qty: 25</v>
      </c>
      <c r="H32" s="93" t="str">
        <f t="shared" si="5"/>
        <v>Qty: 50</v>
      </c>
      <c r="I32" s="93" t="str">
        <f t="shared" si="5"/>
        <v>Qty: 75</v>
      </c>
      <c r="J32" s="93" t="str">
        <f t="shared" si="5"/>
        <v>Qty: 100</v>
      </c>
      <c r="K32" s="93" t="str">
        <f t="shared" si="5"/>
        <v>Qty: 250</v>
      </c>
      <c r="L32" s="93" t="str">
        <f t="shared" si="5"/>
        <v>Qty: 500</v>
      </c>
      <c r="M32" s="94" t="str">
        <f t="shared" si="5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6">C33*D33</f>
        <v>0</v>
      </c>
      <c r="F33" s="35">
        <f>IF($N33=TRUE,$E33/F$13,$E33*(1+(1/F$13)))</f>
        <v>0</v>
      </c>
      <c r="G33" s="35">
        <f t="shared" ref="G33:M44" si="7">IF($N33=TRUE,$E33/G$13,$E33*(1+(1/G$13)))</f>
        <v>0</v>
      </c>
      <c r="H33" s="35">
        <f t="shared" si="7"/>
        <v>0</v>
      </c>
      <c r="I33" s="35">
        <f t="shared" si="7"/>
        <v>0</v>
      </c>
      <c r="J33" s="35">
        <f t="shared" si="7"/>
        <v>0</v>
      </c>
      <c r="K33" s="35">
        <f t="shared" si="7"/>
        <v>0</v>
      </c>
      <c r="L33" s="35">
        <f t="shared" si="7"/>
        <v>0</v>
      </c>
      <c r="M33" s="35">
        <f t="shared" si="7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6"/>
        <v>0</v>
      </c>
      <c r="F34" s="35">
        <f t="shared" ref="F34:F44" si="8">IF($N34=TRUE,$E34/F$13,$E34*(1+(1/F$13)))</f>
        <v>0</v>
      </c>
      <c r="G34" s="35">
        <f t="shared" si="7"/>
        <v>0</v>
      </c>
      <c r="H34" s="35">
        <f t="shared" si="7"/>
        <v>0</v>
      </c>
      <c r="I34" s="35">
        <f t="shared" si="7"/>
        <v>0</v>
      </c>
      <c r="J34" s="35">
        <f t="shared" si="7"/>
        <v>0</v>
      </c>
      <c r="K34" s="35">
        <f t="shared" si="7"/>
        <v>0</v>
      </c>
      <c r="L34" s="35">
        <f t="shared" si="7"/>
        <v>0</v>
      </c>
      <c r="M34" s="35">
        <f t="shared" si="7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6"/>
        <v>0</v>
      </c>
      <c r="F35" s="35">
        <f t="shared" si="8"/>
        <v>0</v>
      </c>
      <c r="G35" s="35">
        <f t="shared" si="7"/>
        <v>0</v>
      </c>
      <c r="H35" s="35">
        <f t="shared" si="7"/>
        <v>0</v>
      </c>
      <c r="I35" s="35">
        <f t="shared" si="7"/>
        <v>0</v>
      </c>
      <c r="J35" s="35">
        <f t="shared" si="7"/>
        <v>0</v>
      </c>
      <c r="K35" s="35">
        <f t="shared" si="7"/>
        <v>0</v>
      </c>
      <c r="L35" s="35">
        <f t="shared" si="7"/>
        <v>0</v>
      </c>
      <c r="M35" s="35">
        <f t="shared" si="7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6"/>
        <v>0</v>
      </c>
      <c r="F36" s="35">
        <f t="shared" si="8"/>
        <v>0</v>
      </c>
      <c r="G36" s="35">
        <f t="shared" si="7"/>
        <v>0</v>
      </c>
      <c r="H36" s="35">
        <f t="shared" si="7"/>
        <v>0</v>
      </c>
      <c r="I36" s="35">
        <f t="shared" si="7"/>
        <v>0</v>
      </c>
      <c r="J36" s="35">
        <f t="shared" si="7"/>
        <v>0</v>
      </c>
      <c r="K36" s="35">
        <f t="shared" si="7"/>
        <v>0</v>
      </c>
      <c r="L36" s="35">
        <f t="shared" si="7"/>
        <v>0</v>
      </c>
      <c r="M36" s="35">
        <f t="shared" si="7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6"/>
        <v>0</v>
      </c>
      <c r="F37" s="35">
        <f t="shared" si="8"/>
        <v>0</v>
      </c>
      <c r="G37" s="35">
        <f t="shared" si="7"/>
        <v>0</v>
      </c>
      <c r="H37" s="35">
        <f t="shared" si="7"/>
        <v>0</v>
      </c>
      <c r="I37" s="35">
        <f t="shared" si="7"/>
        <v>0</v>
      </c>
      <c r="J37" s="35">
        <f t="shared" si="7"/>
        <v>0</v>
      </c>
      <c r="K37" s="35">
        <f t="shared" si="7"/>
        <v>0</v>
      </c>
      <c r="L37" s="35">
        <f t="shared" si="7"/>
        <v>0</v>
      </c>
      <c r="M37" s="35">
        <f t="shared" si="7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6"/>
        <v>0</v>
      </c>
      <c r="F38" s="35">
        <f t="shared" si="8"/>
        <v>0</v>
      </c>
      <c r="G38" s="35">
        <f t="shared" si="7"/>
        <v>0</v>
      </c>
      <c r="H38" s="35">
        <f t="shared" si="7"/>
        <v>0</v>
      </c>
      <c r="I38" s="35">
        <f t="shared" si="7"/>
        <v>0</v>
      </c>
      <c r="J38" s="35">
        <f t="shared" si="7"/>
        <v>0</v>
      </c>
      <c r="K38" s="35">
        <f t="shared" si="7"/>
        <v>0</v>
      </c>
      <c r="L38" s="35">
        <f t="shared" si="7"/>
        <v>0</v>
      </c>
      <c r="M38" s="35">
        <f t="shared" si="7"/>
        <v>0</v>
      </c>
      <c r="N38" s="160" t="b">
        <v>0</v>
      </c>
      <c r="O38" s="34"/>
      <c r="P38" s="34"/>
      <c r="Q38" s="34"/>
      <c r="R38" s="34"/>
      <c r="S38" s="34">
        <f>I13</f>
        <v>75</v>
      </c>
      <c r="T38" s="124">
        <f>I63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6"/>
        <v>0</v>
      </c>
      <c r="F39" s="35">
        <f t="shared" si="8"/>
        <v>0</v>
      </c>
      <c r="G39" s="35">
        <f t="shared" si="7"/>
        <v>0</v>
      </c>
      <c r="H39" s="35">
        <f t="shared" si="7"/>
        <v>0</v>
      </c>
      <c r="I39" s="35">
        <f t="shared" si="7"/>
        <v>0</v>
      </c>
      <c r="J39" s="35">
        <f t="shared" si="7"/>
        <v>0</v>
      </c>
      <c r="K39" s="35">
        <f t="shared" si="7"/>
        <v>0</v>
      </c>
      <c r="L39" s="35">
        <f t="shared" si="7"/>
        <v>0</v>
      </c>
      <c r="M39" s="35">
        <f t="shared" si="7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6"/>
        <v>0</v>
      </c>
      <c r="F40" s="35">
        <f t="shared" si="8"/>
        <v>0</v>
      </c>
      <c r="G40" s="35">
        <f t="shared" si="7"/>
        <v>0</v>
      </c>
      <c r="H40" s="35">
        <f t="shared" si="7"/>
        <v>0</v>
      </c>
      <c r="I40" s="35">
        <f t="shared" si="7"/>
        <v>0</v>
      </c>
      <c r="J40" s="35">
        <f t="shared" si="7"/>
        <v>0</v>
      </c>
      <c r="K40" s="35">
        <f t="shared" si="7"/>
        <v>0</v>
      </c>
      <c r="L40" s="35">
        <f t="shared" si="7"/>
        <v>0</v>
      </c>
      <c r="M40" s="35">
        <f t="shared" si="7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6"/>
        <v>0</v>
      </c>
      <c r="F41" s="35">
        <f t="shared" si="8"/>
        <v>0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0</v>
      </c>
      <c r="L41" s="35">
        <f t="shared" si="7"/>
        <v>0</v>
      </c>
      <c r="M41" s="35">
        <f t="shared" si="7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6"/>
        <v>0</v>
      </c>
      <c r="F42" s="35">
        <f t="shared" si="8"/>
        <v>0</v>
      </c>
      <c r="G42" s="35">
        <f t="shared" si="7"/>
        <v>0</v>
      </c>
      <c r="H42" s="35">
        <f t="shared" si="7"/>
        <v>0</v>
      </c>
      <c r="I42" s="35">
        <f t="shared" si="7"/>
        <v>0</v>
      </c>
      <c r="J42" s="35">
        <f t="shared" si="7"/>
        <v>0</v>
      </c>
      <c r="K42" s="35">
        <f t="shared" si="7"/>
        <v>0</v>
      </c>
      <c r="L42" s="35">
        <f t="shared" si="7"/>
        <v>0</v>
      </c>
      <c r="M42" s="35">
        <f t="shared" si="7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6"/>
        <v>0</v>
      </c>
      <c r="F43" s="35">
        <f t="shared" si="8"/>
        <v>0</v>
      </c>
      <c r="G43" s="35">
        <f t="shared" si="7"/>
        <v>0</v>
      </c>
      <c r="H43" s="35">
        <f t="shared" si="7"/>
        <v>0</v>
      </c>
      <c r="I43" s="35">
        <f t="shared" si="7"/>
        <v>0</v>
      </c>
      <c r="J43" s="35">
        <f t="shared" si="7"/>
        <v>0</v>
      </c>
      <c r="K43" s="35">
        <f t="shared" si="7"/>
        <v>0</v>
      </c>
      <c r="L43" s="35">
        <f t="shared" si="7"/>
        <v>0</v>
      </c>
      <c r="M43" s="35">
        <f t="shared" si="7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6"/>
        <v>0</v>
      </c>
      <c r="F44" s="35">
        <f t="shared" si="8"/>
        <v>0</v>
      </c>
      <c r="G44" s="35">
        <f t="shared" si="7"/>
        <v>0</v>
      </c>
      <c r="H44" s="35">
        <f t="shared" si="7"/>
        <v>0</v>
      </c>
      <c r="I44" s="35">
        <f t="shared" si="7"/>
        <v>0</v>
      </c>
      <c r="J44" s="35">
        <f t="shared" si="7"/>
        <v>0</v>
      </c>
      <c r="K44" s="35">
        <f t="shared" si="7"/>
        <v>0</v>
      </c>
      <c r="L44" s="35">
        <f t="shared" si="7"/>
        <v>0</v>
      </c>
      <c r="M44" s="35">
        <f t="shared" si="7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9">($D46/G$13)+$E46</f>
        <v>0</v>
      </c>
      <c r="H46" s="35">
        <f t="shared" si="9"/>
        <v>0</v>
      </c>
      <c r="I46" s="35">
        <f>($D46/I$13)+$E46</f>
        <v>0</v>
      </c>
      <c r="J46" s="35">
        <f t="shared" ref="J46:K50" si="10">($D46/J$13)+$E46</f>
        <v>0</v>
      </c>
      <c r="K46" s="35">
        <f>($D46/K$13)+$E46</f>
        <v>0</v>
      </c>
      <c r="L46" s="35">
        <f>($D46/L$13)+$E46</f>
        <v>0</v>
      </c>
      <c r="M46" s="35">
        <f>($D46/M$13)+$E46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9"/>
        <v>0</v>
      </c>
      <c r="H47" s="35">
        <f t="shared" si="9"/>
        <v>0</v>
      </c>
      <c r="I47" s="35">
        <f t="shared" si="9"/>
        <v>0</v>
      </c>
      <c r="J47" s="35">
        <f t="shared" si="10"/>
        <v>0</v>
      </c>
      <c r="K47" s="35">
        <f t="shared" si="10"/>
        <v>0</v>
      </c>
      <c r="L47" s="35">
        <f t="shared" si="9"/>
        <v>0</v>
      </c>
      <c r="M47" s="35">
        <f t="shared" si="9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1">($D48/F$13)+$E48</f>
        <v>0</v>
      </c>
      <c r="G48" s="35">
        <f t="shared" si="9"/>
        <v>0</v>
      </c>
      <c r="H48" s="35">
        <f t="shared" si="9"/>
        <v>0</v>
      </c>
      <c r="I48" s="35">
        <f t="shared" si="9"/>
        <v>0</v>
      </c>
      <c r="J48" s="35">
        <f t="shared" si="10"/>
        <v>0</v>
      </c>
      <c r="K48" s="35">
        <f t="shared" si="10"/>
        <v>0</v>
      </c>
      <c r="L48" s="35">
        <f t="shared" si="9"/>
        <v>0</v>
      </c>
      <c r="M48" s="35">
        <f t="shared" si="9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1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10"/>
        <v>0</v>
      </c>
      <c r="K49" s="35">
        <f t="shared" si="10"/>
        <v>0</v>
      </c>
      <c r="L49" s="35">
        <f t="shared" si="9"/>
        <v>0</v>
      </c>
      <c r="M49" s="35">
        <f t="shared" si="9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1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10"/>
        <v>0</v>
      </c>
      <c r="K50" s="35">
        <f t="shared" si="10"/>
        <v>0</v>
      </c>
      <c r="L50" s="35">
        <f t="shared" si="9"/>
        <v>0</v>
      </c>
      <c r="M50" s="35">
        <f t="shared" si="9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>SUM(F33:F44)</f>
        <v>0</v>
      </c>
      <c r="G51" s="63">
        <f t="shared" ref="G51:M51" si="12">SUM(G33:G44)</f>
        <v>0</v>
      </c>
      <c r="H51" s="63">
        <f t="shared" si="12"/>
        <v>0</v>
      </c>
      <c r="I51" s="63">
        <f t="shared" si="12"/>
        <v>0</v>
      </c>
      <c r="J51" s="63">
        <f t="shared" ref="J51" si="13">SUM(J33:J44)</f>
        <v>0</v>
      </c>
      <c r="K51" s="63">
        <f t="shared" ref="K51" si="14">SUM(K33:K44)</f>
        <v>0</v>
      </c>
      <c r="L51" s="63">
        <f t="shared" si="12"/>
        <v>0</v>
      </c>
      <c r="M51" s="63">
        <f t="shared" si="12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5">SUM(G46:G50)</f>
        <v>0</v>
      </c>
      <c r="H52" s="15">
        <f t="shared" si="15"/>
        <v>0</v>
      </c>
      <c r="I52" s="15">
        <f t="shared" si="15"/>
        <v>0</v>
      </c>
      <c r="J52" s="15">
        <f t="shared" si="15"/>
        <v>0</v>
      </c>
      <c r="K52" s="15">
        <f t="shared" si="15"/>
        <v>0</v>
      </c>
      <c r="L52" s="15">
        <f t="shared" si="15"/>
        <v>0</v>
      </c>
      <c r="M52" s="15">
        <f t="shared" si="15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16">SUM(G30+G51+G52)</f>
        <v>0</v>
      </c>
      <c r="H53" s="66">
        <f t="shared" si="16"/>
        <v>0</v>
      </c>
      <c r="I53" s="66">
        <f t="shared" si="16"/>
        <v>0</v>
      </c>
      <c r="J53" s="66">
        <f t="shared" si="16"/>
        <v>0</v>
      </c>
      <c r="K53" s="66">
        <f t="shared" si="16"/>
        <v>0</v>
      </c>
      <c r="L53" s="66">
        <f t="shared" si="16"/>
        <v>0</v>
      </c>
      <c r="M53" s="66">
        <f t="shared" si="16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17">(F55-F53)/F55</f>
        <v>#REF!</v>
      </c>
      <c r="G56" s="74" t="e">
        <f t="shared" si="17"/>
        <v>#REF!</v>
      </c>
      <c r="H56" s="74" t="e">
        <f t="shared" si="17"/>
        <v>#REF!</v>
      </c>
      <c r="I56" s="74" t="e">
        <f t="shared" si="17"/>
        <v>#REF!</v>
      </c>
      <c r="J56" s="74" t="e">
        <f t="shared" si="17"/>
        <v>#REF!</v>
      </c>
      <c r="K56" s="74" t="e">
        <f t="shared" si="17"/>
        <v>#REF!</v>
      </c>
      <c r="L56" s="74" t="e">
        <f t="shared" si="17"/>
        <v>#REF!</v>
      </c>
      <c r="M56" s="74" t="e">
        <f t="shared" si="17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18">G30</f>
        <v>0</v>
      </c>
      <c r="H57" s="76">
        <f t="shared" si="18"/>
        <v>0</v>
      </c>
      <c r="I57" s="76">
        <f t="shared" si="18"/>
        <v>0</v>
      </c>
      <c r="J57" s="76">
        <f t="shared" si="18"/>
        <v>0</v>
      </c>
      <c r="K57" s="76">
        <f t="shared" si="18"/>
        <v>0</v>
      </c>
      <c r="L57" s="76">
        <f t="shared" si="18"/>
        <v>0</v>
      </c>
      <c r="M57" s="76">
        <f t="shared" si="18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9" si="19">G51</f>
        <v>0</v>
      </c>
      <c r="H58" s="14">
        <f t="shared" si="19"/>
        <v>0</v>
      </c>
      <c r="I58" s="14">
        <f t="shared" si="19"/>
        <v>0</v>
      </c>
      <c r="J58" s="14">
        <f t="shared" si="19"/>
        <v>0</v>
      </c>
      <c r="K58" s="14">
        <f t="shared" si="19"/>
        <v>0</v>
      </c>
      <c r="L58" s="14">
        <f t="shared" si="19"/>
        <v>0</v>
      </c>
      <c r="M58" s="14">
        <f t="shared" si="19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20">F52</f>
        <v>0</v>
      </c>
      <c r="G59" s="14">
        <f t="shared" si="20"/>
        <v>0</v>
      </c>
      <c r="H59" s="14">
        <f t="shared" si="20"/>
        <v>0</v>
      </c>
      <c r="I59" s="14">
        <f t="shared" si="20"/>
        <v>0</v>
      </c>
      <c r="J59" s="14">
        <f t="shared" si="19"/>
        <v>0</v>
      </c>
      <c r="K59" s="14">
        <f t="shared" si="19"/>
        <v>0</v>
      </c>
      <c r="L59" s="14">
        <f t="shared" si="20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21">SUM(G57:G59)</f>
        <v>0</v>
      </c>
      <c r="H60" s="62">
        <f t="shared" si="21"/>
        <v>0</v>
      </c>
      <c r="I60" s="62">
        <f t="shared" si="21"/>
        <v>0</v>
      </c>
      <c r="J60" s="62">
        <f t="shared" si="21"/>
        <v>0</v>
      </c>
      <c r="K60" s="62">
        <f t="shared" si="21"/>
        <v>0</v>
      </c>
      <c r="L60" s="62">
        <f t="shared" si="21"/>
        <v>0</v>
      </c>
      <c r="M60" s="62">
        <f t="shared" si="21"/>
        <v>0</v>
      </c>
      <c r="N60" s="77">
        <f t="shared" si="21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22">$N$60/F13</f>
        <v>0</v>
      </c>
      <c r="G61" s="77">
        <f t="shared" si="22"/>
        <v>0</v>
      </c>
      <c r="H61" s="62">
        <f t="shared" si="22"/>
        <v>0</v>
      </c>
      <c r="I61" s="77">
        <f t="shared" si="22"/>
        <v>0</v>
      </c>
      <c r="J61" s="77">
        <f t="shared" si="22"/>
        <v>0</v>
      </c>
      <c r="K61" s="77">
        <f t="shared" si="22"/>
        <v>0</v>
      </c>
      <c r="L61" s="77">
        <f t="shared" si="22"/>
        <v>0</v>
      </c>
      <c r="M61" s="77">
        <f t="shared" si="22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6</v>
      </c>
      <c r="E63" s="206"/>
      <c r="F63" s="80">
        <f>SUM(F60:F62)</f>
        <v>0</v>
      </c>
      <c r="G63" s="80">
        <f t="shared" ref="G63:M63" si="23">SUM(G60:G62)</f>
        <v>0</v>
      </c>
      <c r="H63" s="80">
        <f t="shared" si="23"/>
        <v>0</v>
      </c>
      <c r="I63" s="80">
        <f t="shared" si="23"/>
        <v>0</v>
      </c>
      <c r="J63" s="80">
        <f t="shared" si="23"/>
        <v>0</v>
      </c>
      <c r="K63" s="80">
        <f t="shared" si="23"/>
        <v>0</v>
      </c>
      <c r="L63" s="80">
        <f t="shared" si="23"/>
        <v>0</v>
      </c>
      <c r="M63" s="80">
        <f t="shared" si="23"/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125:E125"/>
    <mergeCell ref="D126:E126"/>
    <mergeCell ref="D62:E62"/>
    <mergeCell ref="D63:E63"/>
    <mergeCell ref="B73:C73"/>
    <mergeCell ref="B117:E117"/>
    <mergeCell ref="B118:E118"/>
    <mergeCell ref="B119:E119"/>
    <mergeCell ref="F2:N2"/>
    <mergeCell ref="F3:N10"/>
    <mergeCell ref="D61:E61"/>
    <mergeCell ref="B2:C2"/>
    <mergeCell ref="B3:C3"/>
    <mergeCell ref="B6:D6"/>
    <mergeCell ref="B51:E51"/>
    <mergeCell ref="B52:E52"/>
    <mergeCell ref="B53:E53"/>
    <mergeCell ref="D56:E56"/>
    <mergeCell ref="D57:E57"/>
    <mergeCell ref="C58:E58"/>
    <mergeCell ref="D59:E59"/>
    <mergeCell ref="D60:E60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26" r:id="rId5" name="Check Box 10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7" r:id="rId6" name="Check Box 11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8" r:id="rId7" name="Check Box 1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9" r:id="rId8" name="Check Box 13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0" r:id="rId9" name="Check Box 14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1" r:id="rId10" name="Check Box 1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2" r:id="rId11" name="Check Box 16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3" r:id="rId12" name="Check Box 17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4" r:id="rId13" name="Check Box 1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5" r:id="rId14" name="Check Box 19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41</xdr:row>
                    <xdr:rowOff>0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6" r:id="rId15" name="Check Box 2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37" r:id="rId16" name="Check Box 2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5B8F56-8921-4ACD-BD91-74946F245AF8}">
          <x14:formula1>
            <xm:f>'Top Assy'!$A$135:$A$174</xm:f>
          </x14:formula1>
          <xm:sqref>A14:A25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bestFit="1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9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7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1">SUM(F16:F25)</f>
        <v>0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si="1"/>
        <v>0</v>
      </c>
      <c r="K26" s="17">
        <f t="shared" si="1"/>
        <v>0</v>
      </c>
      <c r="L26" s="17">
        <f t="shared" si="1"/>
        <v>0</v>
      </c>
      <c r="M26" s="17">
        <f t="shared" si="1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2">(($B$28/F13)+$C$28)/60</f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3">G26*$D$28</f>
        <v>0</v>
      </c>
      <c r="H28" s="20">
        <f t="shared" si="3"/>
        <v>0</v>
      </c>
      <c r="I28" s="20">
        <f t="shared" si="3"/>
        <v>0</v>
      </c>
      <c r="J28" s="20">
        <f t="shared" si="3"/>
        <v>0</v>
      </c>
      <c r="K28" s="20">
        <f t="shared" si="3"/>
        <v>0</v>
      </c>
      <c r="L28" s="20">
        <f t="shared" si="3"/>
        <v>0</v>
      </c>
      <c r="M28" s="20">
        <f t="shared" si="3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>F26+F28</f>
        <v>0</v>
      </c>
      <c r="G30" s="22">
        <f t="shared" ref="G30:M30" si="4">G26+G28</f>
        <v>0</v>
      </c>
      <c r="H30" s="22">
        <f t="shared" si="4"/>
        <v>0</v>
      </c>
      <c r="I30" s="22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5">"Qty: "&amp; F13</f>
        <v>Qty: 10</v>
      </c>
      <c r="G32" s="93" t="str">
        <f t="shared" si="5"/>
        <v>Qty: 25</v>
      </c>
      <c r="H32" s="93" t="str">
        <f t="shared" si="5"/>
        <v>Qty: 50</v>
      </c>
      <c r="I32" s="93" t="str">
        <f t="shared" si="5"/>
        <v>Qty: 75</v>
      </c>
      <c r="J32" s="93" t="str">
        <f t="shared" si="5"/>
        <v>Qty: 100</v>
      </c>
      <c r="K32" s="93" t="str">
        <f t="shared" si="5"/>
        <v>Qty: 250</v>
      </c>
      <c r="L32" s="93" t="str">
        <f t="shared" si="5"/>
        <v>Qty: 500</v>
      </c>
      <c r="M32" s="94" t="str">
        <f t="shared" si="5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6">C33*D33</f>
        <v>0</v>
      </c>
      <c r="F33" s="35">
        <f>IF($N33=TRUE,$E33/F$13,$E33*(1+(1/F$13)))</f>
        <v>0</v>
      </c>
      <c r="G33" s="35">
        <f t="shared" ref="G33:M44" si="7">IF($N33=TRUE,$E33/G$13,$E33*(1+(1/G$13)))</f>
        <v>0</v>
      </c>
      <c r="H33" s="35">
        <f t="shared" si="7"/>
        <v>0</v>
      </c>
      <c r="I33" s="35">
        <f t="shared" si="7"/>
        <v>0</v>
      </c>
      <c r="J33" s="35">
        <f t="shared" si="7"/>
        <v>0</v>
      </c>
      <c r="K33" s="35">
        <f t="shared" si="7"/>
        <v>0</v>
      </c>
      <c r="L33" s="35">
        <f t="shared" si="7"/>
        <v>0</v>
      </c>
      <c r="M33" s="35">
        <f t="shared" si="7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6"/>
        <v>0</v>
      </c>
      <c r="F34" s="35">
        <f t="shared" ref="F34:F44" si="8">IF($N34=TRUE,$E34/F$13,$E34*(1+(1/F$13)))</f>
        <v>0</v>
      </c>
      <c r="G34" s="35">
        <f t="shared" si="7"/>
        <v>0</v>
      </c>
      <c r="H34" s="35">
        <f t="shared" si="7"/>
        <v>0</v>
      </c>
      <c r="I34" s="35">
        <f t="shared" si="7"/>
        <v>0</v>
      </c>
      <c r="J34" s="35">
        <f t="shared" si="7"/>
        <v>0</v>
      </c>
      <c r="K34" s="35">
        <f t="shared" si="7"/>
        <v>0</v>
      </c>
      <c r="L34" s="35">
        <f t="shared" si="7"/>
        <v>0</v>
      </c>
      <c r="M34" s="35">
        <f t="shared" si="7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6"/>
        <v>0</v>
      </c>
      <c r="F35" s="35">
        <f t="shared" si="8"/>
        <v>0</v>
      </c>
      <c r="G35" s="35">
        <f t="shared" si="7"/>
        <v>0</v>
      </c>
      <c r="H35" s="35">
        <f t="shared" si="7"/>
        <v>0</v>
      </c>
      <c r="I35" s="35">
        <f t="shared" si="7"/>
        <v>0</v>
      </c>
      <c r="J35" s="35">
        <f t="shared" si="7"/>
        <v>0</v>
      </c>
      <c r="K35" s="35">
        <f t="shared" si="7"/>
        <v>0</v>
      </c>
      <c r="L35" s="35">
        <f t="shared" si="7"/>
        <v>0</v>
      </c>
      <c r="M35" s="35">
        <f t="shared" si="7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6"/>
        <v>0</v>
      </c>
      <c r="F36" s="35">
        <f t="shared" si="8"/>
        <v>0</v>
      </c>
      <c r="G36" s="35">
        <f t="shared" si="7"/>
        <v>0</v>
      </c>
      <c r="H36" s="35">
        <f t="shared" si="7"/>
        <v>0</v>
      </c>
      <c r="I36" s="35">
        <f t="shared" si="7"/>
        <v>0</v>
      </c>
      <c r="J36" s="35">
        <f t="shared" si="7"/>
        <v>0</v>
      </c>
      <c r="K36" s="35">
        <f t="shared" si="7"/>
        <v>0</v>
      </c>
      <c r="L36" s="35">
        <f t="shared" si="7"/>
        <v>0</v>
      </c>
      <c r="M36" s="35">
        <f t="shared" si="7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6"/>
        <v>0</v>
      </c>
      <c r="F37" s="35">
        <f t="shared" si="8"/>
        <v>0</v>
      </c>
      <c r="G37" s="35">
        <f t="shared" si="7"/>
        <v>0</v>
      </c>
      <c r="H37" s="35">
        <f t="shared" si="7"/>
        <v>0</v>
      </c>
      <c r="I37" s="35">
        <f t="shared" si="7"/>
        <v>0</v>
      </c>
      <c r="J37" s="35">
        <f t="shared" si="7"/>
        <v>0</v>
      </c>
      <c r="K37" s="35">
        <f t="shared" si="7"/>
        <v>0</v>
      </c>
      <c r="L37" s="35">
        <f t="shared" si="7"/>
        <v>0</v>
      </c>
      <c r="M37" s="35">
        <f t="shared" si="7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6"/>
        <v>0</v>
      </c>
      <c r="F38" s="35">
        <f t="shared" si="8"/>
        <v>0</v>
      </c>
      <c r="G38" s="35">
        <f t="shared" si="7"/>
        <v>0</v>
      </c>
      <c r="H38" s="35">
        <f t="shared" si="7"/>
        <v>0</v>
      </c>
      <c r="I38" s="35">
        <f t="shared" si="7"/>
        <v>0</v>
      </c>
      <c r="J38" s="35">
        <f t="shared" si="7"/>
        <v>0</v>
      </c>
      <c r="K38" s="35">
        <f t="shared" si="7"/>
        <v>0</v>
      </c>
      <c r="L38" s="35">
        <f t="shared" si="7"/>
        <v>0</v>
      </c>
      <c r="M38" s="35">
        <f t="shared" si="7"/>
        <v>0</v>
      </c>
      <c r="N38" s="160" t="b">
        <v>0</v>
      </c>
      <c r="O38" s="34"/>
      <c r="P38" s="34"/>
      <c r="Q38" s="34"/>
      <c r="R38" s="34"/>
      <c r="S38" s="34">
        <f>I13</f>
        <v>75</v>
      </c>
      <c r="T38" s="124">
        <f>I63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6"/>
        <v>0</v>
      </c>
      <c r="F39" s="35">
        <f t="shared" si="8"/>
        <v>0</v>
      </c>
      <c r="G39" s="35">
        <f t="shared" si="7"/>
        <v>0</v>
      </c>
      <c r="H39" s="35">
        <f t="shared" si="7"/>
        <v>0</v>
      </c>
      <c r="I39" s="35">
        <f t="shared" si="7"/>
        <v>0</v>
      </c>
      <c r="J39" s="35">
        <f t="shared" si="7"/>
        <v>0</v>
      </c>
      <c r="K39" s="35">
        <f t="shared" si="7"/>
        <v>0</v>
      </c>
      <c r="L39" s="35">
        <f t="shared" si="7"/>
        <v>0</v>
      </c>
      <c r="M39" s="35">
        <f t="shared" si="7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6"/>
        <v>0</v>
      </c>
      <c r="F40" s="35">
        <f t="shared" si="8"/>
        <v>0</v>
      </c>
      <c r="G40" s="35">
        <f t="shared" si="7"/>
        <v>0</v>
      </c>
      <c r="H40" s="35">
        <f t="shared" si="7"/>
        <v>0</v>
      </c>
      <c r="I40" s="35">
        <f t="shared" si="7"/>
        <v>0</v>
      </c>
      <c r="J40" s="35">
        <f t="shared" si="7"/>
        <v>0</v>
      </c>
      <c r="K40" s="35">
        <f t="shared" si="7"/>
        <v>0</v>
      </c>
      <c r="L40" s="35">
        <f t="shared" si="7"/>
        <v>0</v>
      </c>
      <c r="M40" s="35">
        <f t="shared" si="7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6"/>
        <v>0</v>
      </c>
      <c r="F41" s="35">
        <f t="shared" si="8"/>
        <v>0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0</v>
      </c>
      <c r="L41" s="35">
        <f t="shared" si="7"/>
        <v>0</v>
      </c>
      <c r="M41" s="35">
        <f t="shared" si="7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6"/>
        <v>0</v>
      </c>
      <c r="F42" s="35">
        <f t="shared" si="8"/>
        <v>0</v>
      </c>
      <c r="G42" s="35">
        <f t="shared" si="7"/>
        <v>0</v>
      </c>
      <c r="H42" s="35">
        <f t="shared" si="7"/>
        <v>0</v>
      </c>
      <c r="I42" s="35">
        <f t="shared" si="7"/>
        <v>0</v>
      </c>
      <c r="J42" s="35">
        <f t="shared" si="7"/>
        <v>0</v>
      </c>
      <c r="K42" s="35">
        <f t="shared" si="7"/>
        <v>0</v>
      </c>
      <c r="L42" s="35">
        <f t="shared" si="7"/>
        <v>0</v>
      </c>
      <c r="M42" s="35">
        <f t="shared" si="7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6"/>
        <v>0</v>
      </c>
      <c r="F43" s="35">
        <f t="shared" si="8"/>
        <v>0</v>
      </c>
      <c r="G43" s="35">
        <f t="shared" si="7"/>
        <v>0</v>
      </c>
      <c r="H43" s="35">
        <f t="shared" si="7"/>
        <v>0</v>
      </c>
      <c r="I43" s="35">
        <f t="shared" si="7"/>
        <v>0</v>
      </c>
      <c r="J43" s="35">
        <f t="shared" si="7"/>
        <v>0</v>
      </c>
      <c r="K43" s="35">
        <f t="shared" si="7"/>
        <v>0</v>
      </c>
      <c r="L43" s="35">
        <f t="shared" si="7"/>
        <v>0</v>
      </c>
      <c r="M43" s="35">
        <f t="shared" si="7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6"/>
        <v>0</v>
      </c>
      <c r="F44" s="35">
        <f t="shared" si="8"/>
        <v>0</v>
      </c>
      <c r="G44" s="35">
        <f t="shared" si="7"/>
        <v>0</v>
      </c>
      <c r="H44" s="35">
        <f t="shared" si="7"/>
        <v>0</v>
      </c>
      <c r="I44" s="35">
        <f t="shared" si="7"/>
        <v>0</v>
      </c>
      <c r="J44" s="35">
        <f t="shared" si="7"/>
        <v>0</v>
      </c>
      <c r="K44" s="35">
        <f t="shared" si="7"/>
        <v>0</v>
      </c>
      <c r="L44" s="35">
        <f t="shared" si="7"/>
        <v>0</v>
      </c>
      <c r="M44" s="35">
        <f t="shared" si="7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9">($D46/G$13)+$E46</f>
        <v>0</v>
      </c>
      <c r="H46" s="35">
        <f t="shared" si="9"/>
        <v>0</v>
      </c>
      <c r="I46" s="35">
        <f>($D46/I$13)+$E46</f>
        <v>0</v>
      </c>
      <c r="J46" s="35">
        <f t="shared" ref="J46:K50" si="10">($D46/J$13)+$E46</f>
        <v>0</v>
      </c>
      <c r="K46" s="35">
        <f>($D46/K$13)+$E46</f>
        <v>0</v>
      </c>
      <c r="L46" s="35">
        <f>($D46/L$13)+$E46</f>
        <v>0</v>
      </c>
      <c r="M46" s="35">
        <f>($D46/M$13)+$E46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9"/>
        <v>0</v>
      </c>
      <c r="H47" s="35">
        <f t="shared" si="9"/>
        <v>0</v>
      </c>
      <c r="I47" s="35">
        <f t="shared" si="9"/>
        <v>0</v>
      </c>
      <c r="J47" s="35">
        <f t="shared" si="10"/>
        <v>0</v>
      </c>
      <c r="K47" s="35">
        <f t="shared" si="10"/>
        <v>0</v>
      </c>
      <c r="L47" s="35">
        <f t="shared" si="9"/>
        <v>0</v>
      </c>
      <c r="M47" s="35">
        <f t="shared" si="9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1">($D48/F$13)+$E48</f>
        <v>0</v>
      </c>
      <c r="G48" s="35">
        <f t="shared" si="9"/>
        <v>0</v>
      </c>
      <c r="H48" s="35">
        <f t="shared" si="9"/>
        <v>0</v>
      </c>
      <c r="I48" s="35">
        <f t="shared" si="9"/>
        <v>0</v>
      </c>
      <c r="J48" s="35">
        <f t="shared" si="10"/>
        <v>0</v>
      </c>
      <c r="K48" s="35">
        <f t="shared" si="10"/>
        <v>0</v>
      </c>
      <c r="L48" s="35">
        <f t="shared" si="9"/>
        <v>0</v>
      </c>
      <c r="M48" s="35">
        <f t="shared" si="9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1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10"/>
        <v>0</v>
      </c>
      <c r="K49" s="35">
        <f t="shared" si="10"/>
        <v>0</v>
      </c>
      <c r="L49" s="35">
        <f t="shared" si="9"/>
        <v>0</v>
      </c>
      <c r="M49" s="35">
        <f t="shared" si="9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1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10"/>
        <v>0</v>
      </c>
      <c r="K50" s="35">
        <f t="shared" si="10"/>
        <v>0</v>
      </c>
      <c r="L50" s="35">
        <f t="shared" si="9"/>
        <v>0</v>
      </c>
      <c r="M50" s="35">
        <f t="shared" si="9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>SUM(F33:F44)</f>
        <v>0</v>
      </c>
      <c r="G51" s="63">
        <f t="shared" ref="G51:M51" si="12">SUM(G33:G44)</f>
        <v>0</v>
      </c>
      <c r="H51" s="63">
        <f t="shared" si="12"/>
        <v>0</v>
      </c>
      <c r="I51" s="63">
        <f t="shared" si="12"/>
        <v>0</v>
      </c>
      <c r="J51" s="63">
        <f t="shared" ref="J51" si="13">SUM(J33:J44)</f>
        <v>0</v>
      </c>
      <c r="K51" s="63">
        <f t="shared" ref="K51" si="14">SUM(K33:K44)</f>
        <v>0</v>
      </c>
      <c r="L51" s="63">
        <f t="shared" si="12"/>
        <v>0</v>
      </c>
      <c r="M51" s="63">
        <f t="shared" si="12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5">SUM(G46:G50)</f>
        <v>0</v>
      </c>
      <c r="H52" s="15">
        <f t="shared" si="15"/>
        <v>0</v>
      </c>
      <c r="I52" s="15">
        <f t="shared" si="15"/>
        <v>0</v>
      </c>
      <c r="J52" s="15">
        <f t="shared" si="15"/>
        <v>0</v>
      </c>
      <c r="K52" s="15">
        <f t="shared" si="15"/>
        <v>0</v>
      </c>
      <c r="L52" s="15">
        <f t="shared" si="15"/>
        <v>0</v>
      </c>
      <c r="M52" s="15">
        <f t="shared" si="15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16">SUM(G30+G51+G52)</f>
        <v>0</v>
      </c>
      <c r="H53" s="66">
        <f t="shared" si="16"/>
        <v>0</v>
      </c>
      <c r="I53" s="66">
        <f t="shared" si="16"/>
        <v>0</v>
      </c>
      <c r="J53" s="66">
        <f t="shared" si="16"/>
        <v>0</v>
      </c>
      <c r="K53" s="66">
        <f t="shared" si="16"/>
        <v>0</v>
      </c>
      <c r="L53" s="66">
        <f t="shared" si="16"/>
        <v>0</v>
      </c>
      <c r="M53" s="66">
        <f t="shared" si="16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17">(F55-F53)/F55</f>
        <v>#REF!</v>
      </c>
      <c r="G56" s="74" t="e">
        <f t="shared" si="17"/>
        <v>#REF!</v>
      </c>
      <c r="H56" s="74" t="e">
        <f t="shared" si="17"/>
        <v>#REF!</v>
      </c>
      <c r="I56" s="74" t="e">
        <f t="shared" si="17"/>
        <v>#REF!</v>
      </c>
      <c r="J56" s="74" t="e">
        <f t="shared" si="17"/>
        <v>#REF!</v>
      </c>
      <c r="K56" s="74" t="e">
        <f t="shared" si="17"/>
        <v>#REF!</v>
      </c>
      <c r="L56" s="74" t="e">
        <f t="shared" si="17"/>
        <v>#REF!</v>
      </c>
      <c r="M56" s="74" t="e">
        <f t="shared" si="17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18">G30</f>
        <v>0</v>
      </c>
      <c r="H57" s="76">
        <f t="shared" si="18"/>
        <v>0</v>
      </c>
      <c r="I57" s="76">
        <f t="shared" si="18"/>
        <v>0</v>
      </c>
      <c r="J57" s="76">
        <f t="shared" si="18"/>
        <v>0</v>
      </c>
      <c r="K57" s="76">
        <f t="shared" si="18"/>
        <v>0</v>
      </c>
      <c r="L57" s="76">
        <f t="shared" si="18"/>
        <v>0</v>
      </c>
      <c r="M57" s="76">
        <f t="shared" si="18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9" si="19">G51</f>
        <v>0</v>
      </c>
      <c r="H58" s="14">
        <f t="shared" si="19"/>
        <v>0</v>
      </c>
      <c r="I58" s="14">
        <f t="shared" si="19"/>
        <v>0</v>
      </c>
      <c r="J58" s="14">
        <f t="shared" si="19"/>
        <v>0</v>
      </c>
      <c r="K58" s="14">
        <f t="shared" si="19"/>
        <v>0</v>
      </c>
      <c r="L58" s="14">
        <f t="shared" si="19"/>
        <v>0</v>
      </c>
      <c r="M58" s="14">
        <f t="shared" si="19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20">F52</f>
        <v>0</v>
      </c>
      <c r="G59" s="14">
        <f t="shared" si="20"/>
        <v>0</v>
      </c>
      <c r="H59" s="14">
        <f t="shared" si="20"/>
        <v>0</v>
      </c>
      <c r="I59" s="14">
        <f t="shared" si="20"/>
        <v>0</v>
      </c>
      <c r="J59" s="14">
        <f t="shared" si="19"/>
        <v>0</v>
      </c>
      <c r="K59" s="14">
        <f t="shared" si="19"/>
        <v>0</v>
      </c>
      <c r="L59" s="14">
        <f t="shared" si="20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21">SUM(G57:G59)</f>
        <v>0</v>
      </c>
      <c r="H60" s="62">
        <f t="shared" si="21"/>
        <v>0</v>
      </c>
      <c r="I60" s="62">
        <f t="shared" si="21"/>
        <v>0</v>
      </c>
      <c r="J60" s="62">
        <f t="shared" si="21"/>
        <v>0</v>
      </c>
      <c r="K60" s="62">
        <f t="shared" si="21"/>
        <v>0</v>
      </c>
      <c r="L60" s="62">
        <f t="shared" si="21"/>
        <v>0</v>
      </c>
      <c r="M60" s="62">
        <f t="shared" si="21"/>
        <v>0</v>
      </c>
      <c r="N60" s="77">
        <f t="shared" si="21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22">$N$60/F13</f>
        <v>0</v>
      </c>
      <c r="G61" s="77">
        <f t="shared" si="22"/>
        <v>0</v>
      </c>
      <c r="H61" s="62">
        <f t="shared" si="22"/>
        <v>0</v>
      </c>
      <c r="I61" s="77">
        <f t="shared" si="22"/>
        <v>0</v>
      </c>
      <c r="J61" s="77">
        <f t="shared" si="22"/>
        <v>0</v>
      </c>
      <c r="K61" s="77">
        <f t="shared" si="22"/>
        <v>0</v>
      </c>
      <c r="L61" s="77">
        <f t="shared" si="22"/>
        <v>0</v>
      </c>
      <c r="M61" s="77">
        <f t="shared" si="22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7</v>
      </c>
      <c r="E63" s="206"/>
      <c r="F63" s="80">
        <f t="shared" ref="F63:M63" si="23">SUM(F60:F62)</f>
        <v>0</v>
      </c>
      <c r="G63" s="80">
        <f t="shared" si="23"/>
        <v>0</v>
      </c>
      <c r="H63" s="80">
        <f t="shared" si="23"/>
        <v>0</v>
      </c>
      <c r="I63" s="80">
        <f t="shared" si="23"/>
        <v>0</v>
      </c>
      <c r="J63" s="80">
        <f t="shared" si="23"/>
        <v>0</v>
      </c>
      <c r="K63" s="80">
        <f t="shared" si="23"/>
        <v>0</v>
      </c>
      <c r="L63" s="80">
        <f t="shared" si="23"/>
        <v>0</v>
      </c>
      <c r="M63" s="80">
        <f t="shared" si="23"/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61:E61"/>
    <mergeCell ref="B2:C2"/>
    <mergeCell ref="B3:C3"/>
    <mergeCell ref="B6:D6"/>
    <mergeCell ref="B51:E51"/>
    <mergeCell ref="B52:E52"/>
    <mergeCell ref="F2:N2"/>
    <mergeCell ref="F3:N10"/>
    <mergeCell ref="D125:E125"/>
    <mergeCell ref="D126:E126"/>
    <mergeCell ref="D62:E62"/>
    <mergeCell ref="D63:E63"/>
    <mergeCell ref="B53:E53"/>
    <mergeCell ref="D56:E56"/>
    <mergeCell ref="D57:E57"/>
    <mergeCell ref="C58:E58"/>
    <mergeCell ref="D59:E59"/>
    <mergeCell ref="D60:E60"/>
    <mergeCell ref="B73:C73"/>
    <mergeCell ref="B117:E117"/>
    <mergeCell ref="B118:E118"/>
    <mergeCell ref="B119:E119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2" r:id="rId5" name="Check Box 2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3" r:id="rId6" name="Check Box 23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4" r:id="rId7" name="Check Box 24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5" r:id="rId8" name="Check Box 2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6" r:id="rId9" name="Check Box 26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7" r:id="rId10" name="Check Box 27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8" r:id="rId11" name="Check Box 2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9" r:id="rId12" name="Check Box 29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0" r:id="rId13" name="Check Box 3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1" r:id="rId14" name="Check Box 3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41</xdr:row>
                    <xdr:rowOff>0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2" r:id="rId15" name="Check Box 32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3" r:id="rId16" name="Check Box 33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ABCAAA-B37A-4BEC-B97D-459B1A69E6AD}">
          <x14:formula1>
            <xm:f>'Top Assy'!$A$135:$A$174</xm:f>
          </x14:formula1>
          <xm:sqref>A14:A25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bestFit="1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9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8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1">SUM(F16:F25)</f>
        <v>0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si="1"/>
        <v>0</v>
      </c>
      <c r="K26" s="17">
        <f t="shared" si="1"/>
        <v>0</v>
      </c>
      <c r="L26" s="17">
        <f t="shared" si="1"/>
        <v>0</v>
      </c>
      <c r="M26" s="17">
        <f t="shared" si="1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K27" si="2">(($B$28/F13)+$C$28)/60</f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>(($B$28/L13)+$C$28)/60</f>
        <v>0</v>
      </c>
      <c r="M27" s="20">
        <f>(($B$28/M13)+$C$28)/60</f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3">G26*$D$28</f>
        <v>0</v>
      </c>
      <c r="H28" s="20">
        <f t="shared" si="3"/>
        <v>0</v>
      </c>
      <c r="I28" s="20">
        <f t="shared" si="3"/>
        <v>0</v>
      </c>
      <c r="J28" s="20">
        <f t="shared" si="3"/>
        <v>0</v>
      </c>
      <c r="K28" s="20">
        <f t="shared" si="3"/>
        <v>0</v>
      </c>
      <c r="L28" s="20">
        <f t="shared" si="3"/>
        <v>0</v>
      </c>
      <c r="M28" s="20">
        <f t="shared" si="3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 t="shared" ref="F30:M30" si="4">F26+F28</f>
        <v>0</v>
      </c>
      <c r="G30" s="22">
        <f t="shared" si="4"/>
        <v>0</v>
      </c>
      <c r="H30" s="22">
        <f t="shared" si="4"/>
        <v>0</v>
      </c>
      <c r="I30" s="22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5">"Qty: "&amp; F13</f>
        <v>Qty: 10</v>
      </c>
      <c r="G32" s="93" t="str">
        <f t="shared" si="5"/>
        <v>Qty: 25</v>
      </c>
      <c r="H32" s="93" t="str">
        <f t="shared" si="5"/>
        <v>Qty: 50</v>
      </c>
      <c r="I32" s="93" t="str">
        <f t="shared" si="5"/>
        <v>Qty: 75</v>
      </c>
      <c r="J32" s="93" t="str">
        <f t="shared" si="5"/>
        <v>Qty: 100</v>
      </c>
      <c r="K32" s="93" t="str">
        <f t="shared" si="5"/>
        <v>Qty: 250</v>
      </c>
      <c r="L32" s="93" t="str">
        <f t="shared" si="5"/>
        <v>Qty: 500</v>
      </c>
      <c r="M32" s="94" t="str">
        <f t="shared" si="5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6">C33*D33</f>
        <v>0</v>
      </c>
      <c r="F33" s="35">
        <f>IF($N33=TRUE,$E33/F$13,$E33*(1+(1/F$13)))</f>
        <v>0</v>
      </c>
      <c r="G33" s="35">
        <f t="shared" ref="G33:M44" si="7">IF($N33=TRUE,$E33/G$13,$E33*(1+(1/G$13)))</f>
        <v>0</v>
      </c>
      <c r="H33" s="35">
        <f t="shared" si="7"/>
        <v>0</v>
      </c>
      <c r="I33" s="35">
        <f t="shared" si="7"/>
        <v>0</v>
      </c>
      <c r="J33" s="35">
        <f t="shared" si="7"/>
        <v>0</v>
      </c>
      <c r="K33" s="35">
        <f t="shared" si="7"/>
        <v>0</v>
      </c>
      <c r="L33" s="35">
        <f t="shared" si="7"/>
        <v>0</v>
      </c>
      <c r="M33" s="35">
        <f t="shared" si="7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6"/>
        <v>0</v>
      </c>
      <c r="F34" s="35">
        <f t="shared" ref="F34:F44" si="8">IF($N34=TRUE,$E34/F$13,$E34*(1+(1/F$13)))</f>
        <v>0</v>
      </c>
      <c r="G34" s="35">
        <f t="shared" si="7"/>
        <v>0</v>
      </c>
      <c r="H34" s="35">
        <f t="shared" si="7"/>
        <v>0</v>
      </c>
      <c r="I34" s="35">
        <f t="shared" si="7"/>
        <v>0</v>
      </c>
      <c r="J34" s="35">
        <f t="shared" si="7"/>
        <v>0</v>
      </c>
      <c r="K34" s="35">
        <f t="shared" si="7"/>
        <v>0</v>
      </c>
      <c r="L34" s="35">
        <f t="shared" si="7"/>
        <v>0</v>
      </c>
      <c r="M34" s="35">
        <f t="shared" si="7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6"/>
        <v>0</v>
      </c>
      <c r="F35" s="35">
        <f t="shared" si="8"/>
        <v>0</v>
      </c>
      <c r="G35" s="35">
        <f t="shared" si="7"/>
        <v>0</v>
      </c>
      <c r="H35" s="35">
        <f t="shared" si="7"/>
        <v>0</v>
      </c>
      <c r="I35" s="35">
        <f t="shared" si="7"/>
        <v>0</v>
      </c>
      <c r="J35" s="35">
        <f t="shared" si="7"/>
        <v>0</v>
      </c>
      <c r="K35" s="35">
        <f t="shared" si="7"/>
        <v>0</v>
      </c>
      <c r="L35" s="35">
        <f t="shared" si="7"/>
        <v>0</v>
      </c>
      <c r="M35" s="35">
        <f t="shared" si="7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6"/>
        <v>0</v>
      </c>
      <c r="F36" s="35">
        <f t="shared" si="8"/>
        <v>0</v>
      </c>
      <c r="G36" s="35">
        <f t="shared" si="7"/>
        <v>0</v>
      </c>
      <c r="H36" s="35">
        <f t="shared" si="7"/>
        <v>0</v>
      </c>
      <c r="I36" s="35">
        <f t="shared" si="7"/>
        <v>0</v>
      </c>
      <c r="J36" s="35">
        <f t="shared" si="7"/>
        <v>0</v>
      </c>
      <c r="K36" s="35">
        <f t="shared" si="7"/>
        <v>0</v>
      </c>
      <c r="L36" s="35">
        <f t="shared" si="7"/>
        <v>0</v>
      </c>
      <c r="M36" s="35">
        <f t="shared" si="7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6"/>
        <v>0</v>
      </c>
      <c r="F37" s="35">
        <f t="shared" si="8"/>
        <v>0</v>
      </c>
      <c r="G37" s="35">
        <f t="shared" si="7"/>
        <v>0</v>
      </c>
      <c r="H37" s="35">
        <f t="shared" si="7"/>
        <v>0</v>
      </c>
      <c r="I37" s="35">
        <f t="shared" si="7"/>
        <v>0</v>
      </c>
      <c r="J37" s="35">
        <f t="shared" si="7"/>
        <v>0</v>
      </c>
      <c r="K37" s="35">
        <f t="shared" si="7"/>
        <v>0</v>
      </c>
      <c r="L37" s="35">
        <f t="shared" si="7"/>
        <v>0</v>
      </c>
      <c r="M37" s="35">
        <f t="shared" si="7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6"/>
        <v>0</v>
      </c>
      <c r="F38" s="35">
        <f t="shared" si="8"/>
        <v>0</v>
      </c>
      <c r="G38" s="35">
        <f t="shared" si="7"/>
        <v>0</v>
      </c>
      <c r="H38" s="35">
        <f t="shared" si="7"/>
        <v>0</v>
      </c>
      <c r="I38" s="35">
        <f t="shared" si="7"/>
        <v>0</v>
      </c>
      <c r="J38" s="35">
        <f t="shared" si="7"/>
        <v>0</v>
      </c>
      <c r="K38" s="35">
        <f t="shared" si="7"/>
        <v>0</v>
      </c>
      <c r="L38" s="35">
        <f t="shared" si="7"/>
        <v>0</v>
      </c>
      <c r="M38" s="35">
        <f t="shared" si="7"/>
        <v>0</v>
      </c>
      <c r="N38" s="160" t="b">
        <v>0</v>
      </c>
      <c r="O38" s="34"/>
      <c r="P38" s="34"/>
      <c r="Q38" s="34"/>
      <c r="R38" s="34"/>
      <c r="S38" s="34">
        <f>I13</f>
        <v>75</v>
      </c>
      <c r="T38" s="124">
        <f>I63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6"/>
        <v>0</v>
      </c>
      <c r="F39" s="35">
        <f t="shared" si="8"/>
        <v>0</v>
      </c>
      <c r="G39" s="35">
        <f t="shared" si="7"/>
        <v>0</v>
      </c>
      <c r="H39" s="35">
        <f t="shared" si="7"/>
        <v>0</v>
      </c>
      <c r="I39" s="35">
        <f t="shared" si="7"/>
        <v>0</v>
      </c>
      <c r="J39" s="35">
        <f t="shared" si="7"/>
        <v>0</v>
      </c>
      <c r="K39" s="35">
        <f t="shared" si="7"/>
        <v>0</v>
      </c>
      <c r="L39" s="35">
        <f t="shared" si="7"/>
        <v>0</v>
      </c>
      <c r="M39" s="35">
        <f t="shared" si="7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6"/>
        <v>0</v>
      </c>
      <c r="F40" s="35">
        <f t="shared" si="8"/>
        <v>0</v>
      </c>
      <c r="G40" s="35">
        <f t="shared" si="7"/>
        <v>0</v>
      </c>
      <c r="H40" s="35">
        <f t="shared" si="7"/>
        <v>0</v>
      </c>
      <c r="I40" s="35">
        <f t="shared" si="7"/>
        <v>0</v>
      </c>
      <c r="J40" s="35">
        <f t="shared" si="7"/>
        <v>0</v>
      </c>
      <c r="K40" s="35">
        <f t="shared" si="7"/>
        <v>0</v>
      </c>
      <c r="L40" s="35">
        <f t="shared" si="7"/>
        <v>0</v>
      </c>
      <c r="M40" s="35">
        <f t="shared" si="7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6"/>
        <v>0</v>
      </c>
      <c r="F41" s="35">
        <f t="shared" si="8"/>
        <v>0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0</v>
      </c>
      <c r="L41" s="35">
        <f t="shared" si="7"/>
        <v>0</v>
      </c>
      <c r="M41" s="35">
        <f t="shared" si="7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6"/>
        <v>0</v>
      </c>
      <c r="F42" s="35">
        <f t="shared" si="8"/>
        <v>0</v>
      </c>
      <c r="G42" s="35">
        <f t="shared" si="7"/>
        <v>0</v>
      </c>
      <c r="H42" s="35">
        <f t="shared" si="7"/>
        <v>0</v>
      </c>
      <c r="I42" s="35">
        <f t="shared" si="7"/>
        <v>0</v>
      </c>
      <c r="J42" s="35">
        <f t="shared" si="7"/>
        <v>0</v>
      </c>
      <c r="K42" s="35">
        <f t="shared" si="7"/>
        <v>0</v>
      </c>
      <c r="L42" s="35">
        <f t="shared" si="7"/>
        <v>0</v>
      </c>
      <c r="M42" s="35">
        <f t="shared" si="7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6"/>
        <v>0</v>
      </c>
      <c r="F43" s="35">
        <f t="shared" si="8"/>
        <v>0</v>
      </c>
      <c r="G43" s="35">
        <f t="shared" si="7"/>
        <v>0</v>
      </c>
      <c r="H43" s="35">
        <f t="shared" si="7"/>
        <v>0</v>
      </c>
      <c r="I43" s="35">
        <f t="shared" si="7"/>
        <v>0</v>
      </c>
      <c r="J43" s="35">
        <f t="shared" si="7"/>
        <v>0</v>
      </c>
      <c r="K43" s="35">
        <f t="shared" si="7"/>
        <v>0</v>
      </c>
      <c r="L43" s="35">
        <f t="shared" si="7"/>
        <v>0</v>
      </c>
      <c r="M43" s="35">
        <f t="shared" si="7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6"/>
        <v>0</v>
      </c>
      <c r="F44" s="35">
        <f t="shared" si="8"/>
        <v>0</v>
      </c>
      <c r="G44" s="35">
        <f t="shared" si="7"/>
        <v>0</v>
      </c>
      <c r="H44" s="35">
        <f t="shared" si="7"/>
        <v>0</v>
      </c>
      <c r="I44" s="35">
        <f t="shared" si="7"/>
        <v>0</v>
      </c>
      <c r="J44" s="35">
        <f t="shared" si="7"/>
        <v>0</v>
      </c>
      <c r="K44" s="35">
        <f t="shared" si="7"/>
        <v>0</v>
      </c>
      <c r="L44" s="35">
        <f t="shared" si="7"/>
        <v>0</v>
      </c>
      <c r="M44" s="35">
        <f t="shared" si="7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9">($D46/G$13)+$E46</f>
        <v>0</v>
      </c>
      <c r="H46" s="35">
        <f t="shared" si="9"/>
        <v>0</v>
      </c>
      <c r="I46" s="35">
        <f>($D46/I$13)+$E46</f>
        <v>0</v>
      </c>
      <c r="J46" s="35">
        <f t="shared" ref="J46:K50" si="10">($D46/J$13)+$E46</f>
        <v>0</v>
      </c>
      <c r="K46" s="35">
        <f>($D46/K$13)+$E46</f>
        <v>0</v>
      </c>
      <c r="L46" s="35">
        <f>($D46/L$13)+$E46</f>
        <v>0</v>
      </c>
      <c r="M46" s="35">
        <f>($D46/M$13)+$E46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9"/>
        <v>0</v>
      </c>
      <c r="H47" s="35">
        <f t="shared" si="9"/>
        <v>0</v>
      </c>
      <c r="I47" s="35">
        <f t="shared" si="9"/>
        <v>0</v>
      </c>
      <c r="J47" s="35">
        <f t="shared" si="10"/>
        <v>0</v>
      </c>
      <c r="K47" s="35">
        <f t="shared" si="10"/>
        <v>0</v>
      </c>
      <c r="L47" s="35">
        <f t="shared" si="9"/>
        <v>0</v>
      </c>
      <c r="M47" s="35">
        <f t="shared" si="9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1">($D48/F$13)+$E48</f>
        <v>0</v>
      </c>
      <c r="G48" s="35">
        <f t="shared" si="9"/>
        <v>0</v>
      </c>
      <c r="H48" s="35">
        <f t="shared" si="9"/>
        <v>0</v>
      </c>
      <c r="I48" s="35">
        <f t="shared" si="9"/>
        <v>0</v>
      </c>
      <c r="J48" s="35">
        <f t="shared" si="10"/>
        <v>0</v>
      </c>
      <c r="K48" s="35">
        <f t="shared" si="10"/>
        <v>0</v>
      </c>
      <c r="L48" s="35">
        <f t="shared" si="9"/>
        <v>0</v>
      </c>
      <c r="M48" s="35">
        <f t="shared" si="9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1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10"/>
        <v>0</v>
      </c>
      <c r="K49" s="35">
        <f t="shared" si="10"/>
        <v>0</v>
      </c>
      <c r="L49" s="35">
        <f t="shared" si="9"/>
        <v>0</v>
      </c>
      <c r="M49" s="35">
        <f t="shared" si="9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1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10"/>
        <v>0</v>
      </c>
      <c r="K50" s="35">
        <f t="shared" si="10"/>
        <v>0</v>
      </c>
      <c r="L50" s="35">
        <f t="shared" si="9"/>
        <v>0</v>
      </c>
      <c r="M50" s="35">
        <f t="shared" si="9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>SUM(F33:F44)</f>
        <v>0</v>
      </c>
      <c r="G51" s="63">
        <f t="shared" ref="G51:M51" si="12">SUM(G33:G44)</f>
        <v>0</v>
      </c>
      <c r="H51" s="63">
        <f t="shared" si="12"/>
        <v>0</v>
      </c>
      <c r="I51" s="63">
        <f t="shared" si="12"/>
        <v>0</v>
      </c>
      <c r="J51" s="63">
        <f t="shared" ref="J51" si="13">SUM(J33:J44)</f>
        <v>0</v>
      </c>
      <c r="K51" s="63">
        <f t="shared" ref="K51" si="14">SUM(K33:K44)</f>
        <v>0</v>
      </c>
      <c r="L51" s="63">
        <f t="shared" si="12"/>
        <v>0</v>
      </c>
      <c r="M51" s="63">
        <f t="shared" si="12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5">SUM(G46:G50)</f>
        <v>0</v>
      </c>
      <c r="H52" s="15">
        <f t="shared" si="15"/>
        <v>0</v>
      </c>
      <c r="I52" s="15">
        <f t="shared" si="15"/>
        <v>0</v>
      </c>
      <c r="J52" s="15">
        <f t="shared" si="15"/>
        <v>0</v>
      </c>
      <c r="K52" s="15">
        <f t="shared" si="15"/>
        <v>0</v>
      </c>
      <c r="L52" s="15">
        <f t="shared" si="15"/>
        <v>0</v>
      </c>
      <c r="M52" s="15">
        <f t="shared" si="15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16">SUM(G30+G51+G52)</f>
        <v>0</v>
      </c>
      <c r="H53" s="66">
        <f t="shared" si="16"/>
        <v>0</v>
      </c>
      <c r="I53" s="66">
        <f t="shared" si="16"/>
        <v>0</v>
      </c>
      <c r="J53" s="66">
        <f t="shared" si="16"/>
        <v>0</v>
      </c>
      <c r="K53" s="66">
        <f t="shared" si="16"/>
        <v>0</v>
      </c>
      <c r="L53" s="66">
        <f t="shared" si="16"/>
        <v>0</v>
      </c>
      <c r="M53" s="66">
        <f t="shared" si="16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17">(F55-F53)/F55</f>
        <v>#REF!</v>
      </c>
      <c r="G56" s="74" t="e">
        <f t="shared" si="17"/>
        <v>#REF!</v>
      </c>
      <c r="H56" s="74" t="e">
        <f t="shared" si="17"/>
        <v>#REF!</v>
      </c>
      <c r="I56" s="74" t="e">
        <f t="shared" si="17"/>
        <v>#REF!</v>
      </c>
      <c r="J56" s="74" t="e">
        <f t="shared" si="17"/>
        <v>#REF!</v>
      </c>
      <c r="K56" s="74" t="e">
        <f t="shared" si="17"/>
        <v>#REF!</v>
      </c>
      <c r="L56" s="74" t="e">
        <f t="shared" si="17"/>
        <v>#REF!</v>
      </c>
      <c r="M56" s="74" t="e">
        <f t="shared" si="17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18">G30</f>
        <v>0</v>
      </c>
      <c r="H57" s="76">
        <f t="shared" si="18"/>
        <v>0</v>
      </c>
      <c r="I57" s="76">
        <f t="shared" si="18"/>
        <v>0</v>
      </c>
      <c r="J57" s="76">
        <f t="shared" si="18"/>
        <v>0</v>
      </c>
      <c r="K57" s="76">
        <f t="shared" si="18"/>
        <v>0</v>
      </c>
      <c r="L57" s="76">
        <f t="shared" si="18"/>
        <v>0</v>
      </c>
      <c r="M57" s="76">
        <f t="shared" si="18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9" si="19">G51</f>
        <v>0</v>
      </c>
      <c r="H58" s="14">
        <f t="shared" si="19"/>
        <v>0</v>
      </c>
      <c r="I58" s="14">
        <f t="shared" si="19"/>
        <v>0</v>
      </c>
      <c r="J58" s="14">
        <f t="shared" si="19"/>
        <v>0</v>
      </c>
      <c r="K58" s="14">
        <f t="shared" si="19"/>
        <v>0</v>
      </c>
      <c r="L58" s="14">
        <f t="shared" si="19"/>
        <v>0</v>
      </c>
      <c r="M58" s="14">
        <f t="shared" si="19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20">F52</f>
        <v>0</v>
      </c>
      <c r="G59" s="14">
        <f t="shared" si="20"/>
        <v>0</v>
      </c>
      <c r="H59" s="14">
        <f t="shared" si="20"/>
        <v>0</v>
      </c>
      <c r="I59" s="14">
        <f t="shared" si="20"/>
        <v>0</v>
      </c>
      <c r="J59" s="14">
        <f t="shared" si="19"/>
        <v>0</v>
      </c>
      <c r="K59" s="14">
        <f t="shared" si="19"/>
        <v>0</v>
      </c>
      <c r="L59" s="14">
        <f t="shared" si="20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21">SUM(G57:G59)</f>
        <v>0</v>
      </c>
      <c r="H60" s="62">
        <f t="shared" si="21"/>
        <v>0</v>
      </c>
      <c r="I60" s="62">
        <f t="shared" si="21"/>
        <v>0</v>
      </c>
      <c r="J60" s="62">
        <f t="shared" si="21"/>
        <v>0</v>
      </c>
      <c r="K60" s="62">
        <f t="shared" si="21"/>
        <v>0</v>
      </c>
      <c r="L60" s="62">
        <f t="shared" si="21"/>
        <v>0</v>
      </c>
      <c r="M60" s="62">
        <f t="shared" si="21"/>
        <v>0</v>
      </c>
      <c r="N60" s="77">
        <f t="shared" si="21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22">$N$60/F13</f>
        <v>0</v>
      </c>
      <c r="G61" s="77">
        <f t="shared" si="22"/>
        <v>0</v>
      </c>
      <c r="H61" s="62">
        <f t="shared" si="22"/>
        <v>0</v>
      </c>
      <c r="I61" s="77">
        <f t="shared" si="22"/>
        <v>0</v>
      </c>
      <c r="J61" s="77">
        <f t="shared" si="22"/>
        <v>0</v>
      </c>
      <c r="K61" s="77">
        <f t="shared" si="22"/>
        <v>0</v>
      </c>
      <c r="L61" s="77">
        <f t="shared" si="22"/>
        <v>0</v>
      </c>
      <c r="M61" s="77">
        <f t="shared" si="22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8</v>
      </c>
      <c r="E63" s="206"/>
      <c r="F63" s="80">
        <f t="shared" ref="F63:M63" si="23">SUM(F60:F62)</f>
        <v>0</v>
      </c>
      <c r="G63" s="80">
        <f t="shared" si="23"/>
        <v>0</v>
      </c>
      <c r="H63" s="80">
        <f t="shared" si="23"/>
        <v>0</v>
      </c>
      <c r="I63" s="80">
        <f t="shared" si="23"/>
        <v>0</v>
      </c>
      <c r="J63" s="80">
        <f t="shared" si="23"/>
        <v>0</v>
      </c>
      <c r="K63" s="80">
        <f t="shared" si="23"/>
        <v>0</v>
      </c>
      <c r="L63" s="80">
        <f t="shared" si="23"/>
        <v>0</v>
      </c>
      <c r="M63" s="80">
        <f t="shared" si="23"/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61:E61"/>
    <mergeCell ref="B2:C2"/>
    <mergeCell ref="B3:C3"/>
    <mergeCell ref="B6:D6"/>
    <mergeCell ref="B51:E51"/>
    <mergeCell ref="B52:E52"/>
    <mergeCell ref="F2:N2"/>
    <mergeCell ref="F3:N10"/>
    <mergeCell ref="D125:E125"/>
    <mergeCell ref="D126:E126"/>
    <mergeCell ref="D62:E62"/>
    <mergeCell ref="D63:E63"/>
    <mergeCell ref="B53:E53"/>
    <mergeCell ref="D56:E56"/>
    <mergeCell ref="D57:E57"/>
    <mergeCell ref="C58:E58"/>
    <mergeCell ref="D59:E59"/>
    <mergeCell ref="D60:E60"/>
    <mergeCell ref="B73:C73"/>
    <mergeCell ref="B117:E117"/>
    <mergeCell ref="B118:E118"/>
    <mergeCell ref="B119:E119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74" r:id="rId5" name="Check Box 10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6" name="Check Box 11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7" name="Check Box 1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8" name="Check Box 13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9" name="Check Box 14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0" name="Check Box 1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1" name="Check Box 16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12" name="Check Box 17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13" name="Check Box 1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14" name="Check Box 19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41</xdr:row>
                    <xdr:rowOff>0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15" name="Check Box 2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16" name="Check Box 2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3DDFD75-64AE-49B4-9B96-ED599E1DE0CA}">
          <x14:formula1>
            <xm:f>'Top Assy'!$A$135:$A$174</xm:f>
          </x14:formula1>
          <xm:sqref>A14:A25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bestFit="1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9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9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1">SUM(F16:F25)</f>
        <v>0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si="1"/>
        <v>0</v>
      </c>
      <c r="K26" s="17">
        <f t="shared" si="1"/>
        <v>0</v>
      </c>
      <c r="L26" s="17">
        <f t="shared" si="1"/>
        <v>0</v>
      </c>
      <c r="M26" s="17">
        <f t="shared" si="1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2">(($B$28/F13)+$C$28)/60</f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3">G26*$D$28</f>
        <v>0</v>
      </c>
      <c r="H28" s="20">
        <f t="shared" si="3"/>
        <v>0</v>
      </c>
      <c r="I28" s="20">
        <f t="shared" si="3"/>
        <v>0</v>
      </c>
      <c r="J28" s="20">
        <f t="shared" si="3"/>
        <v>0</v>
      </c>
      <c r="K28" s="20">
        <f t="shared" si="3"/>
        <v>0</v>
      </c>
      <c r="L28" s="20">
        <f t="shared" si="3"/>
        <v>0</v>
      </c>
      <c r="M28" s="20">
        <f t="shared" si="3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 t="shared" ref="F30:M30" si="4">F26+F28</f>
        <v>0</v>
      </c>
      <c r="G30" s="22">
        <f t="shared" si="4"/>
        <v>0</v>
      </c>
      <c r="H30" s="22">
        <f t="shared" si="4"/>
        <v>0</v>
      </c>
      <c r="I30" s="22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5">"Qty: "&amp; F13</f>
        <v>Qty: 10</v>
      </c>
      <c r="G32" s="93" t="str">
        <f t="shared" si="5"/>
        <v>Qty: 25</v>
      </c>
      <c r="H32" s="93" t="str">
        <f t="shared" si="5"/>
        <v>Qty: 50</v>
      </c>
      <c r="I32" s="93" t="str">
        <f t="shared" si="5"/>
        <v>Qty: 75</v>
      </c>
      <c r="J32" s="93" t="str">
        <f t="shared" si="5"/>
        <v>Qty: 100</v>
      </c>
      <c r="K32" s="93" t="str">
        <f t="shared" si="5"/>
        <v>Qty: 250</v>
      </c>
      <c r="L32" s="93" t="str">
        <f t="shared" si="5"/>
        <v>Qty: 500</v>
      </c>
      <c r="M32" s="94" t="str">
        <f t="shared" si="5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6">C33*D33</f>
        <v>0</v>
      </c>
      <c r="F33" s="35">
        <f>IF($N33=TRUE,$E33/F$13,$E33*(1+(1/F$13)))</f>
        <v>0</v>
      </c>
      <c r="G33" s="35">
        <f t="shared" ref="G33:M44" si="7">IF($N33=TRUE,$E33/G$13,$E33*(1+(1/G$13)))</f>
        <v>0</v>
      </c>
      <c r="H33" s="35">
        <f t="shared" si="7"/>
        <v>0</v>
      </c>
      <c r="I33" s="35">
        <f t="shared" si="7"/>
        <v>0</v>
      </c>
      <c r="J33" s="35">
        <f t="shared" si="7"/>
        <v>0</v>
      </c>
      <c r="K33" s="35">
        <f t="shared" si="7"/>
        <v>0</v>
      </c>
      <c r="L33" s="35">
        <f t="shared" si="7"/>
        <v>0</v>
      </c>
      <c r="M33" s="35">
        <f t="shared" si="7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6"/>
        <v>0</v>
      </c>
      <c r="F34" s="35">
        <f t="shared" ref="F34:F44" si="8">IF($N34=TRUE,$E34/F$13,$E34*(1+(1/F$13)))</f>
        <v>0</v>
      </c>
      <c r="G34" s="35">
        <f t="shared" si="7"/>
        <v>0</v>
      </c>
      <c r="H34" s="35">
        <f t="shared" si="7"/>
        <v>0</v>
      </c>
      <c r="I34" s="35">
        <f t="shared" si="7"/>
        <v>0</v>
      </c>
      <c r="J34" s="35">
        <f t="shared" si="7"/>
        <v>0</v>
      </c>
      <c r="K34" s="35">
        <f t="shared" si="7"/>
        <v>0</v>
      </c>
      <c r="L34" s="35">
        <f t="shared" si="7"/>
        <v>0</v>
      </c>
      <c r="M34" s="35">
        <f t="shared" si="7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6"/>
        <v>0</v>
      </c>
      <c r="F35" s="35">
        <f t="shared" si="8"/>
        <v>0</v>
      </c>
      <c r="G35" s="35">
        <f t="shared" si="7"/>
        <v>0</v>
      </c>
      <c r="H35" s="35">
        <f t="shared" si="7"/>
        <v>0</v>
      </c>
      <c r="I35" s="35">
        <f t="shared" si="7"/>
        <v>0</v>
      </c>
      <c r="J35" s="35">
        <f t="shared" si="7"/>
        <v>0</v>
      </c>
      <c r="K35" s="35">
        <f t="shared" si="7"/>
        <v>0</v>
      </c>
      <c r="L35" s="35">
        <f t="shared" si="7"/>
        <v>0</v>
      </c>
      <c r="M35" s="35">
        <f t="shared" si="7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6"/>
        <v>0</v>
      </c>
      <c r="F36" s="35">
        <f t="shared" si="8"/>
        <v>0</v>
      </c>
      <c r="G36" s="35">
        <f t="shared" si="7"/>
        <v>0</v>
      </c>
      <c r="H36" s="35">
        <f t="shared" si="7"/>
        <v>0</v>
      </c>
      <c r="I36" s="35">
        <f t="shared" si="7"/>
        <v>0</v>
      </c>
      <c r="J36" s="35">
        <f t="shared" si="7"/>
        <v>0</v>
      </c>
      <c r="K36" s="35">
        <f t="shared" si="7"/>
        <v>0</v>
      </c>
      <c r="L36" s="35">
        <f t="shared" si="7"/>
        <v>0</v>
      </c>
      <c r="M36" s="35">
        <f t="shared" si="7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6"/>
        <v>0</v>
      </c>
      <c r="F37" s="35">
        <f t="shared" si="8"/>
        <v>0</v>
      </c>
      <c r="G37" s="35">
        <f t="shared" si="7"/>
        <v>0</v>
      </c>
      <c r="H37" s="35">
        <f t="shared" si="7"/>
        <v>0</v>
      </c>
      <c r="I37" s="35">
        <f t="shared" si="7"/>
        <v>0</v>
      </c>
      <c r="J37" s="35">
        <f t="shared" si="7"/>
        <v>0</v>
      </c>
      <c r="K37" s="35">
        <f t="shared" si="7"/>
        <v>0</v>
      </c>
      <c r="L37" s="35">
        <f t="shared" si="7"/>
        <v>0</v>
      </c>
      <c r="M37" s="35">
        <f t="shared" si="7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6"/>
        <v>0</v>
      </c>
      <c r="F38" s="35">
        <f t="shared" si="8"/>
        <v>0</v>
      </c>
      <c r="G38" s="35">
        <f t="shared" si="7"/>
        <v>0</v>
      </c>
      <c r="H38" s="35">
        <f t="shared" si="7"/>
        <v>0</v>
      </c>
      <c r="I38" s="35">
        <f t="shared" si="7"/>
        <v>0</v>
      </c>
      <c r="J38" s="35">
        <f t="shared" si="7"/>
        <v>0</v>
      </c>
      <c r="K38" s="35">
        <f t="shared" si="7"/>
        <v>0</v>
      </c>
      <c r="L38" s="35">
        <f t="shared" si="7"/>
        <v>0</v>
      </c>
      <c r="M38" s="35">
        <f t="shared" si="7"/>
        <v>0</v>
      </c>
      <c r="N38" s="160" t="b">
        <v>0</v>
      </c>
      <c r="O38" s="34"/>
      <c r="P38" s="34"/>
      <c r="Q38" s="34"/>
      <c r="R38" s="34"/>
      <c r="S38" s="34">
        <f>I13</f>
        <v>75</v>
      </c>
      <c r="T38" s="124">
        <f>I63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6"/>
        <v>0</v>
      </c>
      <c r="F39" s="35">
        <f t="shared" si="8"/>
        <v>0</v>
      </c>
      <c r="G39" s="35">
        <f t="shared" si="7"/>
        <v>0</v>
      </c>
      <c r="H39" s="35">
        <f t="shared" si="7"/>
        <v>0</v>
      </c>
      <c r="I39" s="35">
        <f t="shared" si="7"/>
        <v>0</v>
      </c>
      <c r="J39" s="35">
        <f t="shared" si="7"/>
        <v>0</v>
      </c>
      <c r="K39" s="35">
        <f t="shared" si="7"/>
        <v>0</v>
      </c>
      <c r="L39" s="35">
        <f t="shared" si="7"/>
        <v>0</v>
      </c>
      <c r="M39" s="35">
        <f t="shared" si="7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6"/>
        <v>0</v>
      </c>
      <c r="F40" s="35">
        <f t="shared" si="8"/>
        <v>0</v>
      </c>
      <c r="G40" s="35">
        <f t="shared" si="7"/>
        <v>0</v>
      </c>
      <c r="H40" s="35">
        <f t="shared" si="7"/>
        <v>0</v>
      </c>
      <c r="I40" s="35">
        <f t="shared" si="7"/>
        <v>0</v>
      </c>
      <c r="J40" s="35">
        <f t="shared" si="7"/>
        <v>0</v>
      </c>
      <c r="K40" s="35">
        <f t="shared" si="7"/>
        <v>0</v>
      </c>
      <c r="L40" s="35">
        <f t="shared" si="7"/>
        <v>0</v>
      </c>
      <c r="M40" s="35">
        <f t="shared" si="7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6"/>
        <v>0</v>
      </c>
      <c r="F41" s="35">
        <f t="shared" si="8"/>
        <v>0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0</v>
      </c>
      <c r="L41" s="35">
        <f t="shared" si="7"/>
        <v>0</v>
      </c>
      <c r="M41" s="35">
        <f t="shared" si="7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6"/>
        <v>0</v>
      </c>
      <c r="F42" s="35">
        <f t="shared" si="8"/>
        <v>0</v>
      </c>
      <c r="G42" s="35">
        <f t="shared" si="7"/>
        <v>0</v>
      </c>
      <c r="H42" s="35">
        <f t="shared" si="7"/>
        <v>0</v>
      </c>
      <c r="I42" s="35">
        <f t="shared" si="7"/>
        <v>0</v>
      </c>
      <c r="J42" s="35">
        <f t="shared" si="7"/>
        <v>0</v>
      </c>
      <c r="K42" s="35">
        <f t="shared" si="7"/>
        <v>0</v>
      </c>
      <c r="L42" s="35">
        <f t="shared" si="7"/>
        <v>0</v>
      </c>
      <c r="M42" s="35">
        <f t="shared" si="7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6"/>
        <v>0</v>
      </c>
      <c r="F43" s="35">
        <f t="shared" si="8"/>
        <v>0</v>
      </c>
      <c r="G43" s="35">
        <f t="shared" si="7"/>
        <v>0</v>
      </c>
      <c r="H43" s="35">
        <f t="shared" si="7"/>
        <v>0</v>
      </c>
      <c r="I43" s="35">
        <f t="shared" si="7"/>
        <v>0</v>
      </c>
      <c r="J43" s="35">
        <f t="shared" si="7"/>
        <v>0</v>
      </c>
      <c r="K43" s="35">
        <f t="shared" si="7"/>
        <v>0</v>
      </c>
      <c r="L43" s="35">
        <f t="shared" si="7"/>
        <v>0</v>
      </c>
      <c r="M43" s="35">
        <f t="shared" si="7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6"/>
        <v>0</v>
      </c>
      <c r="F44" s="35">
        <f t="shared" si="8"/>
        <v>0</v>
      </c>
      <c r="G44" s="35">
        <f t="shared" si="7"/>
        <v>0</v>
      </c>
      <c r="H44" s="35">
        <f t="shared" si="7"/>
        <v>0</v>
      </c>
      <c r="I44" s="35">
        <f t="shared" si="7"/>
        <v>0</v>
      </c>
      <c r="J44" s="35">
        <f t="shared" si="7"/>
        <v>0</v>
      </c>
      <c r="K44" s="35">
        <f t="shared" si="7"/>
        <v>0</v>
      </c>
      <c r="L44" s="35">
        <f t="shared" si="7"/>
        <v>0</v>
      </c>
      <c r="M44" s="35">
        <f t="shared" si="7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9">($D46/G$13)+$E46</f>
        <v>0</v>
      </c>
      <c r="H46" s="35">
        <f t="shared" si="9"/>
        <v>0</v>
      </c>
      <c r="I46" s="35">
        <f>($D46/I$13)+$E46</f>
        <v>0</v>
      </c>
      <c r="J46" s="35">
        <f t="shared" ref="J46:K50" si="10">($D46/J$13)+$E46</f>
        <v>0</v>
      </c>
      <c r="K46" s="35">
        <f>($D46/K$13)+$E46</f>
        <v>0</v>
      </c>
      <c r="L46" s="35">
        <f>($D46/L$13)+$E46</f>
        <v>0</v>
      </c>
      <c r="M46" s="35">
        <f>($D46/M$13)+$E46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9"/>
        <v>0</v>
      </c>
      <c r="H47" s="35">
        <f t="shared" si="9"/>
        <v>0</v>
      </c>
      <c r="I47" s="35">
        <f t="shared" si="9"/>
        <v>0</v>
      </c>
      <c r="J47" s="35">
        <f t="shared" si="10"/>
        <v>0</v>
      </c>
      <c r="K47" s="35">
        <f t="shared" si="10"/>
        <v>0</v>
      </c>
      <c r="L47" s="35">
        <f t="shared" si="9"/>
        <v>0</v>
      </c>
      <c r="M47" s="35">
        <f t="shared" si="9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1">($D48/F$13)+$E48</f>
        <v>0</v>
      </c>
      <c r="G48" s="35">
        <f t="shared" si="9"/>
        <v>0</v>
      </c>
      <c r="H48" s="35">
        <f t="shared" si="9"/>
        <v>0</v>
      </c>
      <c r="I48" s="35">
        <f t="shared" si="9"/>
        <v>0</v>
      </c>
      <c r="J48" s="35">
        <f t="shared" si="10"/>
        <v>0</v>
      </c>
      <c r="K48" s="35">
        <f t="shared" si="10"/>
        <v>0</v>
      </c>
      <c r="L48" s="35">
        <f t="shared" si="9"/>
        <v>0</v>
      </c>
      <c r="M48" s="35">
        <f t="shared" si="9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1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10"/>
        <v>0</v>
      </c>
      <c r="K49" s="35">
        <f t="shared" si="10"/>
        <v>0</v>
      </c>
      <c r="L49" s="35">
        <f t="shared" si="9"/>
        <v>0</v>
      </c>
      <c r="M49" s="35">
        <f t="shared" si="9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1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10"/>
        <v>0</v>
      </c>
      <c r="K50" s="35">
        <f t="shared" si="10"/>
        <v>0</v>
      </c>
      <c r="L50" s="35">
        <f t="shared" si="9"/>
        <v>0</v>
      </c>
      <c r="M50" s="35">
        <f t="shared" si="9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>SUM(F33:F44)</f>
        <v>0</v>
      </c>
      <c r="G51" s="63">
        <f t="shared" ref="G51:M51" si="12">SUM(G33:G44)</f>
        <v>0</v>
      </c>
      <c r="H51" s="63">
        <f t="shared" si="12"/>
        <v>0</v>
      </c>
      <c r="I51" s="63">
        <f t="shared" si="12"/>
        <v>0</v>
      </c>
      <c r="J51" s="63">
        <f t="shared" ref="J51" si="13">SUM(J33:J44)</f>
        <v>0</v>
      </c>
      <c r="K51" s="63">
        <f t="shared" ref="K51" si="14">SUM(K33:K44)</f>
        <v>0</v>
      </c>
      <c r="L51" s="63">
        <f t="shared" si="12"/>
        <v>0</v>
      </c>
      <c r="M51" s="63">
        <f t="shared" si="12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5">SUM(G46:G50)</f>
        <v>0</v>
      </c>
      <c r="H52" s="15">
        <f t="shared" si="15"/>
        <v>0</v>
      </c>
      <c r="I52" s="15">
        <f t="shared" si="15"/>
        <v>0</v>
      </c>
      <c r="J52" s="15">
        <f t="shared" si="15"/>
        <v>0</v>
      </c>
      <c r="K52" s="15">
        <f t="shared" si="15"/>
        <v>0</v>
      </c>
      <c r="L52" s="15">
        <f t="shared" si="15"/>
        <v>0</v>
      </c>
      <c r="M52" s="15">
        <f t="shared" si="15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16">SUM(G30+G51+G52)</f>
        <v>0</v>
      </c>
      <c r="H53" s="66">
        <f t="shared" si="16"/>
        <v>0</v>
      </c>
      <c r="I53" s="66">
        <f t="shared" si="16"/>
        <v>0</v>
      </c>
      <c r="J53" s="66">
        <f t="shared" si="16"/>
        <v>0</v>
      </c>
      <c r="K53" s="66">
        <f t="shared" si="16"/>
        <v>0</v>
      </c>
      <c r="L53" s="66">
        <f t="shared" si="16"/>
        <v>0</v>
      </c>
      <c r="M53" s="66">
        <f t="shared" si="16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17">(F55-F53)/F55</f>
        <v>#REF!</v>
      </c>
      <c r="G56" s="74" t="e">
        <f t="shared" si="17"/>
        <v>#REF!</v>
      </c>
      <c r="H56" s="74" t="e">
        <f t="shared" si="17"/>
        <v>#REF!</v>
      </c>
      <c r="I56" s="74" t="e">
        <f t="shared" si="17"/>
        <v>#REF!</v>
      </c>
      <c r="J56" s="74" t="e">
        <f t="shared" si="17"/>
        <v>#REF!</v>
      </c>
      <c r="K56" s="74" t="e">
        <f t="shared" si="17"/>
        <v>#REF!</v>
      </c>
      <c r="L56" s="74" t="e">
        <f t="shared" si="17"/>
        <v>#REF!</v>
      </c>
      <c r="M56" s="74" t="e">
        <f t="shared" si="17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18">G30</f>
        <v>0</v>
      </c>
      <c r="H57" s="76">
        <f t="shared" si="18"/>
        <v>0</v>
      </c>
      <c r="I57" s="76">
        <f t="shared" si="18"/>
        <v>0</v>
      </c>
      <c r="J57" s="76">
        <f t="shared" si="18"/>
        <v>0</v>
      </c>
      <c r="K57" s="76">
        <f t="shared" si="18"/>
        <v>0</v>
      </c>
      <c r="L57" s="76">
        <f t="shared" si="18"/>
        <v>0</v>
      </c>
      <c r="M57" s="76">
        <f t="shared" si="18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9" si="19">G51</f>
        <v>0</v>
      </c>
      <c r="H58" s="14">
        <f t="shared" si="19"/>
        <v>0</v>
      </c>
      <c r="I58" s="14">
        <f t="shared" si="19"/>
        <v>0</v>
      </c>
      <c r="J58" s="14">
        <f t="shared" si="19"/>
        <v>0</v>
      </c>
      <c r="K58" s="14">
        <f t="shared" si="19"/>
        <v>0</v>
      </c>
      <c r="L58" s="14">
        <f t="shared" si="19"/>
        <v>0</v>
      </c>
      <c r="M58" s="14">
        <f t="shared" si="19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20">F52</f>
        <v>0</v>
      </c>
      <c r="G59" s="14">
        <f t="shared" si="20"/>
        <v>0</v>
      </c>
      <c r="H59" s="14">
        <f t="shared" si="20"/>
        <v>0</v>
      </c>
      <c r="I59" s="14">
        <f t="shared" si="20"/>
        <v>0</v>
      </c>
      <c r="J59" s="14">
        <f t="shared" si="19"/>
        <v>0</v>
      </c>
      <c r="K59" s="14">
        <f t="shared" si="19"/>
        <v>0</v>
      </c>
      <c r="L59" s="14">
        <f t="shared" si="20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21">SUM(G57:G59)</f>
        <v>0</v>
      </c>
      <c r="H60" s="62">
        <f t="shared" si="21"/>
        <v>0</v>
      </c>
      <c r="I60" s="62">
        <f t="shared" si="21"/>
        <v>0</v>
      </c>
      <c r="J60" s="62">
        <f t="shared" si="21"/>
        <v>0</v>
      </c>
      <c r="K60" s="62">
        <f t="shared" si="21"/>
        <v>0</v>
      </c>
      <c r="L60" s="62">
        <f t="shared" si="21"/>
        <v>0</v>
      </c>
      <c r="M60" s="62">
        <f t="shared" si="21"/>
        <v>0</v>
      </c>
      <c r="N60" s="77">
        <f t="shared" si="21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22">$N$60/F13</f>
        <v>0</v>
      </c>
      <c r="G61" s="77">
        <f t="shared" si="22"/>
        <v>0</v>
      </c>
      <c r="H61" s="62">
        <f t="shared" si="22"/>
        <v>0</v>
      </c>
      <c r="I61" s="77">
        <f t="shared" si="22"/>
        <v>0</v>
      </c>
      <c r="J61" s="77">
        <f t="shared" si="22"/>
        <v>0</v>
      </c>
      <c r="K61" s="77">
        <f t="shared" si="22"/>
        <v>0</v>
      </c>
      <c r="L61" s="77">
        <f t="shared" si="22"/>
        <v>0</v>
      </c>
      <c r="M61" s="77">
        <f t="shared" si="22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9</v>
      </c>
      <c r="E63" s="206"/>
      <c r="F63" s="80">
        <f t="shared" ref="F63:M63" si="23">SUM(F60:F62)</f>
        <v>0</v>
      </c>
      <c r="G63" s="80">
        <f t="shared" si="23"/>
        <v>0</v>
      </c>
      <c r="H63" s="80">
        <f t="shared" si="23"/>
        <v>0</v>
      </c>
      <c r="I63" s="80">
        <f t="shared" si="23"/>
        <v>0</v>
      </c>
      <c r="J63" s="80">
        <f t="shared" si="23"/>
        <v>0</v>
      </c>
      <c r="K63" s="80">
        <f t="shared" si="23"/>
        <v>0</v>
      </c>
      <c r="L63" s="80">
        <f t="shared" si="23"/>
        <v>0</v>
      </c>
      <c r="M63" s="80">
        <f t="shared" si="23"/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61:E61"/>
    <mergeCell ref="B2:C2"/>
    <mergeCell ref="B3:C3"/>
    <mergeCell ref="B6:D6"/>
    <mergeCell ref="B51:E51"/>
    <mergeCell ref="B52:E52"/>
    <mergeCell ref="F2:N2"/>
    <mergeCell ref="F3:N10"/>
    <mergeCell ref="D125:E125"/>
    <mergeCell ref="D126:E126"/>
    <mergeCell ref="D62:E62"/>
    <mergeCell ref="D63:E63"/>
    <mergeCell ref="B53:E53"/>
    <mergeCell ref="D56:E56"/>
    <mergeCell ref="D57:E57"/>
    <mergeCell ref="C58:E58"/>
    <mergeCell ref="D59:E59"/>
    <mergeCell ref="D60:E60"/>
    <mergeCell ref="B73:C73"/>
    <mergeCell ref="B117:E117"/>
    <mergeCell ref="B118:E118"/>
    <mergeCell ref="B119:E119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5" name="Check Box 1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0" r:id="rId6" name="Check Box 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1" r:id="rId7" name="Check Box 3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2" r:id="rId8" name="Check Box 4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3" r:id="rId9" name="Check Box 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4" r:id="rId10" name="Check Box 6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5" r:id="rId11" name="Check Box 7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6" r:id="rId12" name="Check Box 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7" r:id="rId13" name="Check Box 9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8" r:id="rId14" name="Check Box 1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41</xdr:row>
                    <xdr:rowOff>0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299" r:id="rId15" name="Check Box 1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300" r:id="rId16" name="Check Box 12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E6A0E63-FE12-412C-835D-E25B48AD3935}">
          <x14:formula1>
            <xm:f>'Top Assy'!$A$135:$A$174</xm:f>
          </x14:formula1>
          <xm:sqref>A15:A25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bestFit="1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9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10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>SUM(F16:F25)</f>
        <v>0</v>
      </c>
      <c r="G26" s="17">
        <f>SUM(G16:G25)</f>
        <v>0</v>
      </c>
      <c r="H26" s="17">
        <f>SUM(H16:H25)</f>
        <v>0</v>
      </c>
      <c r="I26" s="17">
        <f>SUM(I16:I25)</f>
        <v>0</v>
      </c>
      <c r="J26" s="17">
        <f t="shared" ref="J26:K26" si="1">SUM(J16:J25)</f>
        <v>0</v>
      </c>
      <c r="K26" s="17">
        <f t="shared" si="1"/>
        <v>0</v>
      </c>
      <c r="L26" s="17">
        <f>SUM(L16:L25)</f>
        <v>0</v>
      </c>
      <c r="M26" s="17">
        <f t="shared" ref="M26" si="2">SUM(M16:M25)</f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3">(($B$28/F13)+$C$28)/60</f>
        <v>0</v>
      </c>
      <c r="G27" s="20">
        <f t="shared" si="3"/>
        <v>0</v>
      </c>
      <c r="H27" s="20">
        <f t="shared" si="3"/>
        <v>0</v>
      </c>
      <c r="I27" s="20">
        <f t="shared" si="3"/>
        <v>0</v>
      </c>
      <c r="J27" s="20">
        <f t="shared" si="3"/>
        <v>0</v>
      </c>
      <c r="K27" s="20">
        <f t="shared" si="3"/>
        <v>0</v>
      </c>
      <c r="L27" s="20">
        <f t="shared" si="3"/>
        <v>0</v>
      </c>
      <c r="M27" s="20">
        <f t="shared" si="3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L28" si="4">G26*$D$28</f>
        <v>0</v>
      </c>
      <c r="H28" s="20">
        <f t="shared" si="4"/>
        <v>0</v>
      </c>
      <c r="I28" s="20">
        <f t="shared" si="4"/>
        <v>0</v>
      </c>
      <c r="J28" s="20">
        <f t="shared" si="4"/>
        <v>0</v>
      </c>
      <c r="K28" s="20">
        <f t="shared" si="4"/>
        <v>0</v>
      </c>
      <c r="L28" s="20">
        <f t="shared" si="4"/>
        <v>0</v>
      </c>
      <c r="M28" s="20">
        <f>M26*$D$28</f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>F26+F28</f>
        <v>0</v>
      </c>
      <c r="G30" s="22">
        <f t="shared" ref="G30:M30" si="5">G26+G28</f>
        <v>0</v>
      </c>
      <c r="H30" s="22">
        <f t="shared" si="5"/>
        <v>0</v>
      </c>
      <c r="I30" s="22">
        <f t="shared" si="5"/>
        <v>0</v>
      </c>
      <c r="J30" s="22">
        <f t="shared" si="5"/>
        <v>0</v>
      </c>
      <c r="K30" s="22">
        <f t="shared" si="5"/>
        <v>0</v>
      </c>
      <c r="L30" s="22">
        <f t="shared" si="5"/>
        <v>0</v>
      </c>
      <c r="M30" s="22">
        <f t="shared" si="5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6">"Qty: "&amp; F13</f>
        <v>Qty: 10</v>
      </c>
      <c r="G32" s="93" t="str">
        <f t="shared" si="6"/>
        <v>Qty: 25</v>
      </c>
      <c r="H32" s="93" t="str">
        <f t="shared" si="6"/>
        <v>Qty: 50</v>
      </c>
      <c r="I32" s="93" t="str">
        <f t="shared" si="6"/>
        <v>Qty: 75</v>
      </c>
      <c r="J32" s="93" t="str">
        <f t="shared" si="6"/>
        <v>Qty: 100</v>
      </c>
      <c r="K32" s="93" t="str">
        <f t="shared" si="6"/>
        <v>Qty: 250</v>
      </c>
      <c r="L32" s="93" t="str">
        <f t="shared" si="6"/>
        <v>Qty: 500</v>
      </c>
      <c r="M32" s="94" t="str">
        <f t="shared" si="6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7">C33*D33</f>
        <v>0</v>
      </c>
      <c r="F33" s="35">
        <f>IF($N33=TRUE,$E33/F$13,$E33*(1+(1/F$13)))</f>
        <v>0</v>
      </c>
      <c r="G33" s="35">
        <f t="shared" ref="G33:M44" si="8">IF($N33=TRUE,$E33/G$13,$E33*(1+(1/G$13)))</f>
        <v>0</v>
      </c>
      <c r="H33" s="35">
        <f t="shared" si="8"/>
        <v>0</v>
      </c>
      <c r="I33" s="35">
        <f t="shared" si="8"/>
        <v>0</v>
      </c>
      <c r="J33" s="35">
        <f t="shared" si="8"/>
        <v>0</v>
      </c>
      <c r="K33" s="35">
        <f t="shared" si="8"/>
        <v>0</v>
      </c>
      <c r="L33" s="35">
        <f t="shared" si="8"/>
        <v>0</v>
      </c>
      <c r="M33" s="35">
        <f t="shared" si="8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7"/>
        <v>0</v>
      </c>
      <c r="F34" s="35">
        <f t="shared" ref="F34:F44" si="9">IF($N34=TRUE,$E34/F$13,$E34*(1+(1/F$13)))</f>
        <v>0</v>
      </c>
      <c r="G34" s="35">
        <f t="shared" si="8"/>
        <v>0</v>
      </c>
      <c r="H34" s="35">
        <f t="shared" si="8"/>
        <v>0</v>
      </c>
      <c r="I34" s="35">
        <f t="shared" si="8"/>
        <v>0</v>
      </c>
      <c r="J34" s="35">
        <f t="shared" si="8"/>
        <v>0</v>
      </c>
      <c r="K34" s="35">
        <f t="shared" si="8"/>
        <v>0</v>
      </c>
      <c r="L34" s="35">
        <f t="shared" si="8"/>
        <v>0</v>
      </c>
      <c r="M34" s="35">
        <f t="shared" si="8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7"/>
        <v>0</v>
      </c>
      <c r="F35" s="35">
        <f t="shared" si="9"/>
        <v>0</v>
      </c>
      <c r="G35" s="35">
        <f t="shared" si="8"/>
        <v>0</v>
      </c>
      <c r="H35" s="35">
        <f t="shared" si="8"/>
        <v>0</v>
      </c>
      <c r="I35" s="35">
        <f t="shared" si="8"/>
        <v>0</v>
      </c>
      <c r="J35" s="35">
        <f t="shared" si="8"/>
        <v>0</v>
      </c>
      <c r="K35" s="35">
        <f t="shared" si="8"/>
        <v>0</v>
      </c>
      <c r="L35" s="35">
        <f t="shared" si="8"/>
        <v>0</v>
      </c>
      <c r="M35" s="35">
        <f t="shared" si="8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7"/>
        <v>0</v>
      </c>
      <c r="F36" s="35">
        <f t="shared" si="9"/>
        <v>0</v>
      </c>
      <c r="G36" s="35">
        <f t="shared" si="8"/>
        <v>0</v>
      </c>
      <c r="H36" s="35">
        <f t="shared" si="8"/>
        <v>0</v>
      </c>
      <c r="I36" s="35">
        <f t="shared" si="8"/>
        <v>0</v>
      </c>
      <c r="J36" s="35">
        <f t="shared" si="8"/>
        <v>0</v>
      </c>
      <c r="K36" s="35">
        <f t="shared" si="8"/>
        <v>0</v>
      </c>
      <c r="L36" s="35">
        <f t="shared" si="8"/>
        <v>0</v>
      </c>
      <c r="M36" s="35">
        <f t="shared" si="8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7"/>
        <v>0</v>
      </c>
      <c r="F37" s="35">
        <f t="shared" si="9"/>
        <v>0</v>
      </c>
      <c r="G37" s="35">
        <f t="shared" si="8"/>
        <v>0</v>
      </c>
      <c r="H37" s="35">
        <f t="shared" si="8"/>
        <v>0</v>
      </c>
      <c r="I37" s="35">
        <f t="shared" si="8"/>
        <v>0</v>
      </c>
      <c r="J37" s="35">
        <f t="shared" si="8"/>
        <v>0</v>
      </c>
      <c r="K37" s="35">
        <f t="shared" si="8"/>
        <v>0</v>
      </c>
      <c r="L37" s="35">
        <f t="shared" si="8"/>
        <v>0</v>
      </c>
      <c r="M37" s="35">
        <f t="shared" si="8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7"/>
        <v>0</v>
      </c>
      <c r="F38" s="35">
        <f t="shared" si="9"/>
        <v>0</v>
      </c>
      <c r="G38" s="35">
        <f t="shared" si="8"/>
        <v>0</v>
      </c>
      <c r="H38" s="35">
        <f t="shared" si="8"/>
        <v>0</v>
      </c>
      <c r="I38" s="35">
        <f t="shared" si="8"/>
        <v>0</v>
      </c>
      <c r="J38" s="35">
        <f t="shared" si="8"/>
        <v>0</v>
      </c>
      <c r="K38" s="35">
        <f t="shared" si="8"/>
        <v>0</v>
      </c>
      <c r="L38" s="35">
        <f t="shared" si="8"/>
        <v>0</v>
      </c>
      <c r="M38" s="35">
        <f t="shared" si="8"/>
        <v>0</v>
      </c>
      <c r="N38" s="160" t="b">
        <v>0</v>
      </c>
      <c r="O38" s="34"/>
      <c r="P38" s="34"/>
      <c r="Q38" s="34"/>
      <c r="R38" s="34"/>
      <c r="S38" s="34">
        <f>I13</f>
        <v>75</v>
      </c>
      <c r="T38" s="124">
        <f>I63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7"/>
        <v>0</v>
      </c>
      <c r="F39" s="35">
        <f t="shared" si="9"/>
        <v>0</v>
      </c>
      <c r="G39" s="35">
        <f t="shared" si="8"/>
        <v>0</v>
      </c>
      <c r="H39" s="35">
        <f t="shared" si="8"/>
        <v>0</v>
      </c>
      <c r="I39" s="35">
        <f t="shared" si="8"/>
        <v>0</v>
      </c>
      <c r="J39" s="35">
        <f t="shared" si="8"/>
        <v>0</v>
      </c>
      <c r="K39" s="35">
        <f t="shared" si="8"/>
        <v>0</v>
      </c>
      <c r="L39" s="35">
        <f t="shared" si="8"/>
        <v>0</v>
      </c>
      <c r="M39" s="35">
        <f t="shared" si="8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7"/>
        <v>0</v>
      </c>
      <c r="F40" s="35">
        <f t="shared" si="9"/>
        <v>0</v>
      </c>
      <c r="G40" s="35">
        <f t="shared" si="8"/>
        <v>0</v>
      </c>
      <c r="H40" s="35">
        <f t="shared" si="8"/>
        <v>0</v>
      </c>
      <c r="I40" s="35">
        <f t="shared" si="8"/>
        <v>0</v>
      </c>
      <c r="J40" s="35">
        <f t="shared" si="8"/>
        <v>0</v>
      </c>
      <c r="K40" s="35">
        <f t="shared" si="8"/>
        <v>0</v>
      </c>
      <c r="L40" s="35">
        <f t="shared" si="8"/>
        <v>0</v>
      </c>
      <c r="M40" s="35">
        <f t="shared" si="8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7"/>
        <v>0</v>
      </c>
      <c r="F41" s="35">
        <f t="shared" si="9"/>
        <v>0</v>
      </c>
      <c r="G41" s="35">
        <f t="shared" si="8"/>
        <v>0</v>
      </c>
      <c r="H41" s="35">
        <f t="shared" si="8"/>
        <v>0</v>
      </c>
      <c r="I41" s="35">
        <f t="shared" si="8"/>
        <v>0</v>
      </c>
      <c r="J41" s="35">
        <f t="shared" si="8"/>
        <v>0</v>
      </c>
      <c r="K41" s="35">
        <f t="shared" si="8"/>
        <v>0</v>
      </c>
      <c r="L41" s="35">
        <f t="shared" si="8"/>
        <v>0</v>
      </c>
      <c r="M41" s="35">
        <f t="shared" si="8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7"/>
        <v>0</v>
      </c>
      <c r="F42" s="35">
        <f t="shared" si="9"/>
        <v>0</v>
      </c>
      <c r="G42" s="35">
        <f t="shared" si="8"/>
        <v>0</v>
      </c>
      <c r="H42" s="35">
        <f t="shared" si="8"/>
        <v>0</v>
      </c>
      <c r="I42" s="35">
        <f t="shared" si="8"/>
        <v>0</v>
      </c>
      <c r="J42" s="35">
        <f t="shared" si="8"/>
        <v>0</v>
      </c>
      <c r="K42" s="35">
        <f t="shared" si="8"/>
        <v>0</v>
      </c>
      <c r="L42" s="35">
        <f t="shared" si="8"/>
        <v>0</v>
      </c>
      <c r="M42" s="35">
        <f t="shared" si="8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7"/>
        <v>0</v>
      </c>
      <c r="F43" s="35">
        <f t="shared" si="9"/>
        <v>0</v>
      </c>
      <c r="G43" s="35">
        <f t="shared" si="8"/>
        <v>0</v>
      </c>
      <c r="H43" s="35">
        <f t="shared" si="8"/>
        <v>0</v>
      </c>
      <c r="I43" s="35">
        <f t="shared" si="8"/>
        <v>0</v>
      </c>
      <c r="J43" s="35">
        <f t="shared" si="8"/>
        <v>0</v>
      </c>
      <c r="K43" s="35">
        <f t="shared" si="8"/>
        <v>0</v>
      </c>
      <c r="L43" s="35">
        <f t="shared" si="8"/>
        <v>0</v>
      </c>
      <c r="M43" s="35">
        <f t="shared" si="8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7"/>
        <v>0</v>
      </c>
      <c r="F44" s="35">
        <f t="shared" si="9"/>
        <v>0</v>
      </c>
      <c r="G44" s="35">
        <f t="shared" si="8"/>
        <v>0</v>
      </c>
      <c r="H44" s="35">
        <f t="shared" si="8"/>
        <v>0</v>
      </c>
      <c r="I44" s="35">
        <f t="shared" si="8"/>
        <v>0</v>
      </c>
      <c r="J44" s="35">
        <f t="shared" si="8"/>
        <v>0</v>
      </c>
      <c r="K44" s="35">
        <f t="shared" si="8"/>
        <v>0</v>
      </c>
      <c r="L44" s="35">
        <f t="shared" si="8"/>
        <v>0</v>
      </c>
      <c r="M44" s="35">
        <f t="shared" si="8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10">($D46/G$13)+$E46</f>
        <v>0</v>
      </c>
      <c r="H46" s="35">
        <f t="shared" si="10"/>
        <v>0</v>
      </c>
      <c r="I46" s="35">
        <f>($D46/I$13)+$E46</f>
        <v>0</v>
      </c>
      <c r="J46" s="35">
        <f t="shared" ref="J46:K50" si="11">($D46/J$13)+$E46</f>
        <v>0</v>
      </c>
      <c r="K46" s="35">
        <f>($D46/K$13)+$E46</f>
        <v>0</v>
      </c>
      <c r="L46" s="35">
        <f>($D46/L$13)+$E46</f>
        <v>0</v>
      </c>
      <c r="M46" s="35">
        <f>($D46/M$13)+$E46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10"/>
        <v>0</v>
      </c>
      <c r="H47" s="35">
        <f t="shared" si="10"/>
        <v>0</v>
      </c>
      <c r="I47" s="35">
        <f t="shared" si="10"/>
        <v>0</v>
      </c>
      <c r="J47" s="35">
        <f t="shared" si="11"/>
        <v>0</v>
      </c>
      <c r="K47" s="35">
        <f t="shared" si="11"/>
        <v>0</v>
      </c>
      <c r="L47" s="35">
        <f t="shared" si="10"/>
        <v>0</v>
      </c>
      <c r="M47" s="35">
        <f t="shared" si="10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2">($D48/F$13)+$E48</f>
        <v>0</v>
      </c>
      <c r="G48" s="35">
        <f t="shared" si="10"/>
        <v>0</v>
      </c>
      <c r="H48" s="35">
        <f t="shared" si="10"/>
        <v>0</v>
      </c>
      <c r="I48" s="35">
        <f t="shared" si="10"/>
        <v>0</v>
      </c>
      <c r="J48" s="35">
        <f t="shared" si="11"/>
        <v>0</v>
      </c>
      <c r="K48" s="35">
        <f t="shared" si="11"/>
        <v>0</v>
      </c>
      <c r="L48" s="35">
        <f t="shared" si="10"/>
        <v>0</v>
      </c>
      <c r="M48" s="35">
        <f t="shared" si="10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2"/>
        <v>0</v>
      </c>
      <c r="G49" s="35">
        <f t="shared" si="10"/>
        <v>0</v>
      </c>
      <c r="H49" s="35">
        <f t="shared" si="10"/>
        <v>0</v>
      </c>
      <c r="I49" s="35">
        <f t="shared" si="10"/>
        <v>0</v>
      </c>
      <c r="J49" s="35">
        <f t="shared" si="11"/>
        <v>0</v>
      </c>
      <c r="K49" s="35">
        <f t="shared" si="11"/>
        <v>0</v>
      </c>
      <c r="L49" s="35">
        <f t="shared" si="10"/>
        <v>0</v>
      </c>
      <c r="M49" s="35">
        <f t="shared" si="10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2"/>
        <v>0</v>
      </c>
      <c r="G50" s="35">
        <f t="shared" si="10"/>
        <v>0</v>
      </c>
      <c r="H50" s="35">
        <f t="shared" si="10"/>
        <v>0</v>
      </c>
      <c r="I50" s="35">
        <f t="shared" si="10"/>
        <v>0</v>
      </c>
      <c r="J50" s="35">
        <f t="shared" si="11"/>
        <v>0</v>
      </c>
      <c r="K50" s="35">
        <f t="shared" si="11"/>
        <v>0</v>
      </c>
      <c r="L50" s="35">
        <f t="shared" si="10"/>
        <v>0</v>
      </c>
      <c r="M50" s="35">
        <f t="shared" si="10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>SUM(F33:F44)</f>
        <v>0</v>
      </c>
      <c r="G51" s="63">
        <f t="shared" ref="G51:M51" si="13">SUM(G33:G44)</f>
        <v>0</v>
      </c>
      <c r="H51" s="63">
        <f t="shared" si="13"/>
        <v>0</v>
      </c>
      <c r="I51" s="63">
        <f t="shared" si="13"/>
        <v>0</v>
      </c>
      <c r="J51" s="63">
        <f t="shared" ref="J51" si="14">SUM(J33:J44)</f>
        <v>0</v>
      </c>
      <c r="K51" s="63">
        <f t="shared" ref="K51" si="15">SUM(K33:K44)</f>
        <v>0</v>
      </c>
      <c r="L51" s="63">
        <f t="shared" si="13"/>
        <v>0</v>
      </c>
      <c r="M51" s="63">
        <f t="shared" si="13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6">SUM(G46:G50)</f>
        <v>0</v>
      </c>
      <c r="H52" s="15">
        <f t="shared" si="16"/>
        <v>0</v>
      </c>
      <c r="I52" s="15">
        <f t="shared" si="16"/>
        <v>0</v>
      </c>
      <c r="J52" s="15">
        <f t="shared" si="16"/>
        <v>0</v>
      </c>
      <c r="K52" s="15">
        <f t="shared" si="16"/>
        <v>0</v>
      </c>
      <c r="L52" s="15">
        <f t="shared" si="16"/>
        <v>0</v>
      </c>
      <c r="M52" s="15">
        <f t="shared" si="16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17">SUM(G30+G51+G52)</f>
        <v>0</v>
      </c>
      <c r="H53" s="66">
        <f t="shared" si="17"/>
        <v>0</v>
      </c>
      <c r="I53" s="66">
        <f t="shared" si="17"/>
        <v>0</v>
      </c>
      <c r="J53" s="66">
        <f t="shared" si="17"/>
        <v>0</v>
      </c>
      <c r="K53" s="66">
        <f t="shared" si="17"/>
        <v>0</v>
      </c>
      <c r="L53" s="66">
        <f t="shared" si="17"/>
        <v>0</v>
      </c>
      <c r="M53" s="66">
        <f t="shared" si="17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18">(F55-F53)/F55</f>
        <v>#REF!</v>
      </c>
      <c r="G56" s="74" t="e">
        <f t="shared" si="18"/>
        <v>#REF!</v>
      </c>
      <c r="H56" s="74" t="e">
        <f t="shared" si="18"/>
        <v>#REF!</v>
      </c>
      <c r="I56" s="74" t="e">
        <f t="shared" si="18"/>
        <v>#REF!</v>
      </c>
      <c r="J56" s="74" t="e">
        <f t="shared" si="18"/>
        <v>#REF!</v>
      </c>
      <c r="K56" s="74" t="e">
        <f t="shared" si="18"/>
        <v>#REF!</v>
      </c>
      <c r="L56" s="74" t="e">
        <f t="shared" si="18"/>
        <v>#REF!</v>
      </c>
      <c r="M56" s="74" t="e">
        <f t="shared" si="18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19">G30</f>
        <v>0</v>
      </c>
      <c r="H57" s="76">
        <f t="shared" si="19"/>
        <v>0</v>
      </c>
      <c r="I57" s="76">
        <f t="shared" si="19"/>
        <v>0</v>
      </c>
      <c r="J57" s="76">
        <f t="shared" si="19"/>
        <v>0</v>
      </c>
      <c r="K57" s="76">
        <f t="shared" si="19"/>
        <v>0</v>
      </c>
      <c r="L57" s="76">
        <f t="shared" si="19"/>
        <v>0</v>
      </c>
      <c r="M57" s="76">
        <f t="shared" si="19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9" si="20">G51</f>
        <v>0</v>
      </c>
      <c r="H58" s="14">
        <f t="shared" si="20"/>
        <v>0</v>
      </c>
      <c r="I58" s="14">
        <f t="shared" si="20"/>
        <v>0</v>
      </c>
      <c r="J58" s="14">
        <f t="shared" si="20"/>
        <v>0</v>
      </c>
      <c r="K58" s="14">
        <f t="shared" si="20"/>
        <v>0</v>
      </c>
      <c r="L58" s="14">
        <f t="shared" si="20"/>
        <v>0</v>
      </c>
      <c r="M58" s="14">
        <f t="shared" si="20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21">F52</f>
        <v>0</v>
      </c>
      <c r="G59" s="14">
        <f t="shared" si="21"/>
        <v>0</v>
      </c>
      <c r="H59" s="14">
        <f t="shared" si="21"/>
        <v>0</v>
      </c>
      <c r="I59" s="14">
        <f t="shared" si="21"/>
        <v>0</v>
      </c>
      <c r="J59" s="14">
        <f t="shared" si="20"/>
        <v>0</v>
      </c>
      <c r="K59" s="14">
        <f t="shared" si="20"/>
        <v>0</v>
      </c>
      <c r="L59" s="14">
        <f t="shared" si="21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22">SUM(G57:G59)</f>
        <v>0</v>
      </c>
      <c r="H60" s="62">
        <f t="shared" si="22"/>
        <v>0</v>
      </c>
      <c r="I60" s="62">
        <f t="shared" si="22"/>
        <v>0</v>
      </c>
      <c r="J60" s="62">
        <f t="shared" si="22"/>
        <v>0</v>
      </c>
      <c r="K60" s="62">
        <f t="shared" si="22"/>
        <v>0</v>
      </c>
      <c r="L60" s="62">
        <f t="shared" si="22"/>
        <v>0</v>
      </c>
      <c r="M60" s="62">
        <f t="shared" si="22"/>
        <v>0</v>
      </c>
      <c r="N60" s="77">
        <f t="shared" si="22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23">$N$60/F13</f>
        <v>0</v>
      </c>
      <c r="G61" s="77">
        <f t="shared" si="23"/>
        <v>0</v>
      </c>
      <c r="H61" s="62">
        <f t="shared" si="23"/>
        <v>0</v>
      </c>
      <c r="I61" s="77">
        <f t="shared" si="23"/>
        <v>0</v>
      </c>
      <c r="J61" s="77">
        <f t="shared" si="23"/>
        <v>0</v>
      </c>
      <c r="K61" s="77">
        <f t="shared" si="23"/>
        <v>0</v>
      </c>
      <c r="L61" s="77">
        <f t="shared" si="23"/>
        <v>0</v>
      </c>
      <c r="M61" s="77">
        <f t="shared" si="23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10</v>
      </c>
      <c r="E63" s="206"/>
      <c r="F63" s="80">
        <f>SUM(F60:F62)</f>
        <v>0</v>
      </c>
      <c r="G63" s="80">
        <f t="shared" ref="G63:M63" si="24">SUM(G60:G62)</f>
        <v>0</v>
      </c>
      <c r="H63" s="80">
        <f t="shared" si="24"/>
        <v>0</v>
      </c>
      <c r="I63" s="80">
        <f t="shared" si="24"/>
        <v>0</v>
      </c>
      <c r="J63" s="80">
        <f t="shared" si="24"/>
        <v>0</v>
      </c>
      <c r="K63" s="80">
        <f t="shared" si="24"/>
        <v>0</v>
      </c>
      <c r="L63" s="80">
        <f t="shared" si="24"/>
        <v>0</v>
      </c>
      <c r="M63" s="80">
        <f t="shared" si="24"/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61:E61"/>
    <mergeCell ref="B2:C2"/>
    <mergeCell ref="B3:C3"/>
    <mergeCell ref="B6:D6"/>
    <mergeCell ref="B51:E51"/>
    <mergeCell ref="B52:E52"/>
    <mergeCell ref="F2:N2"/>
    <mergeCell ref="F3:N10"/>
    <mergeCell ref="D125:E125"/>
    <mergeCell ref="D126:E126"/>
    <mergeCell ref="D62:E62"/>
    <mergeCell ref="D63:E63"/>
    <mergeCell ref="B53:E53"/>
    <mergeCell ref="D56:E56"/>
    <mergeCell ref="D57:E57"/>
    <mergeCell ref="C58:E58"/>
    <mergeCell ref="D59:E59"/>
    <mergeCell ref="D60:E60"/>
    <mergeCell ref="B73:C73"/>
    <mergeCell ref="B117:E117"/>
    <mergeCell ref="B118:E118"/>
    <mergeCell ref="B119:E119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5" name="Check Box 1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6" name="Check Box 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7" name="Check Box 3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8" name="Check Box 4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9" name="Check Box 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10" name="Check Box 6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1" name="Check Box 7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2" name="Check Box 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3" name="Check Box 9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4" name="Check Box 1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41</xdr:row>
                    <xdr:rowOff>0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5" name="Check Box 1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6" name="Check Box 12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430B29E-2D96-418C-BBFE-BC4D6B4FA797}">
          <x14:formula1>
            <xm:f>'Top Assy'!$A$135:$A$174</xm:f>
          </x14:formula1>
          <xm:sqref>A14:A25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bestFit="1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9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11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1">SUM(F16:F25)</f>
        <v>0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si="1"/>
        <v>0</v>
      </c>
      <c r="K26" s="17">
        <f t="shared" si="1"/>
        <v>0</v>
      </c>
      <c r="L26" s="17">
        <f t="shared" si="1"/>
        <v>0</v>
      </c>
      <c r="M26" s="17">
        <f t="shared" si="1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2">(($B$28/F13)+$C$28)/60</f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3">G26*$D$28</f>
        <v>0</v>
      </c>
      <c r="H28" s="20">
        <f t="shared" si="3"/>
        <v>0</v>
      </c>
      <c r="I28" s="20">
        <f t="shared" si="3"/>
        <v>0</v>
      </c>
      <c r="J28" s="20">
        <f t="shared" si="3"/>
        <v>0</v>
      </c>
      <c r="K28" s="20">
        <f t="shared" si="3"/>
        <v>0</v>
      </c>
      <c r="L28" s="20">
        <f t="shared" si="3"/>
        <v>0</v>
      </c>
      <c r="M28" s="20">
        <f t="shared" si="3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>F26+F28</f>
        <v>0</v>
      </c>
      <c r="G30" s="22">
        <f t="shared" ref="G30:M30" si="4">G26+G28</f>
        <v>0</v>
      </c>
      <c r="H30" s="22">
        <f t="shared" si="4"/>
        <v>0</v>
      </c>
      <c r="I30" s="22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5">"Qty: "&amp; F13</f>
        <v>Qty: 10</v>
      </c>
      <c r="G32" s="93" t="str">
        <f t="shared" si="5"/>
        <v>Qty: 25</v>
      </c>
      <c r="H32" s="93" t="str">
        <f t="shared" si="5"/>
        <v>Qty: 50</v>
      </c>
      <c r="I32" s="93" t="str">
        <f t="shared" si="5"/>
        <v>Qty: 75</v>
      </c>
      <c r="J32" s="93" t="str">
        <f t="shared" si="5"/>
        <v>Qty: 100</v>
      </c>
      <c r="K32" s="93" t="str">
        <f t="shared" si="5"/>
        <v>Qty: 250</v>
      </c>
      <c r="L32" s="93" t="str">
        <f t="shared" si="5"/>
        <v>Qty: 500</v>
      </c>
      <c r="M32" s="94" t="str">
        <f t="shared" si="5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6">C33*D33</f>
        <v>0</v>
      </c>
      <c r="F33" s="35">
        <f>IF($N33=TRUE,$E33/F$13,$E33*(1+(1/F$13)))</f>
        <v>0</v>
      </c>
      <c r="G33" s="35">
        <f t="shared" ref="G33:M44" si="7">IF($N33=TRUE,$E33/G$13,$E33*(1+(1/G$13)))</f>
        <v>0</v>
      </c>
      <c r="H33" s="35">
        <f t="shared" si="7"/>
        <v>0</v>
      </c>
      <c r="I33" s="35">
        <f t="shared" si="7"/>
        <v>0</v>
      </c>
      <c r="J33" s="35">
        <f t="shared" si="7"/>
        <v>0</v>
      </c>
      <c r="K33" s="35">
        <f t="shared" si="7"/>
        <v>0</v>
      </c>
      <c r="L33" s="35">
        <f t="shared" si="7"/>
        <v>0</v>
      </c>
      <c r="M33" s="35">
        <f t="shared" si="7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6"/>
        <v>0</v>
      </c>
      <c r="F34" s="35">
        <f t="shared" ref="F34:F44" si="8">IF($N34=TRUE,$E34/F$13,$E34*(1+(1/F$13)))</f>
        <v>0</v>
      </c>
      <c r="G34" s="35">
        <f t="shared" si="7"/>
        <v>0</v>
      </c>
      <c r="H34" s="35">
        <f t="shared" si="7"/>
        <v>0</v>
      </c>
      <c r="I34" s="35">
        <f t="shared" si="7"/>
        <v>0</v>
      </c>
      <c r="J34" s="35">
        <f t="shared" si="7"/>
        <v>0</v>
      </c>
      <c r="K34" s="35">
        <f t="shared" si="7"/>
        <v>0</v>
      </c>
      <c r="L34" s="35">
        <f t="shared" si="7"/>
        <v>0</v>
      </c>
      <c r="M34" s="35">
        <f t="shared" si="7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6"/>
        <v>0</v>
      </c>
      <c r="F35" s="35">
        <f t="shared" si="8"/>
        <v>0</v>
      </c>
      <c r="G35" s="35">
        <f t="shared" si="7"/>
        <v>0</v>
      </c>
      <c r="H35" s="35">
        <f t="shared" si="7"/>
        <v>0</v>
      </c>
      <c r="I35" s="35">
        <f t="shared" si="7"/>
        <v>0</v>
      </c>
      <c r="J35" s="35">
        <f t="shared" si="7"/>
        <v>0</v>
      </c>
      <c r="K35" s="35">
        <f t="shared" si="7"/>
        <v>0</v>
      </c>
      <c r="L35" s="35">
        <f t="shared" si="7"/>
        <v>0</v>
      </c>
      <c r="M35" s="35">
        <f t="shared" si="7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6"/>
        <v>0</v>
      </c>
      <c r="F36" s="35">
        <f t="shared" si="8"/>
        <v>0</v>
      </c>
      <c r="G36" s="35">
        <f t="shared" si="7"/>
        <v>0</v>
      </c>
      <c r="H36" s="35">
        <f t="shared" si="7"/>
        <v>0</v>
      </c>
      <c r="I36" s="35">
        <f t="shared" si="7"/>
        <v>0</v>
      </c>
      <c r="J36" s="35">
        <f t="shared" si="7"/>
        <v>0</v>
      </c>
      <c r="K36" s="35">
        <f t="shared" si="7"/>
        <v>0</v>
      </c>
      <c r="L36" s="35">
        <f t="shared" si="7"/>
        <v>0</v>
      </c>
      <c r="M36" s="35">
        <f t="shared" si="7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6"/>
        <v>0</v>
      </c>
      <c r="F37" s="35">
        <f t="shared" si="8"/>
        <v>0</v>
      </c>
      <c r="G37" s="35">
        <f t="shared" si="7"/>
        <v>0</v>
      </c>
      <c r="H37" s="35">
        <f t="shared" si="7"/>
        <v>0</v>
      </c>
      <c r="I37" s="35">
        <f t="shared" si="7"/>
        <v>0</v>
      </c>
      <c r="J37" s="35">
        <f t="shared" si="7"/>
        <v>0</v>
      </c>
      <c r="K37" s="35">
        <f t="shared" si="7"/>
        <v>0</v>
      </c>
      <c r="L37" s="35">
        <f t="shared" si="7"/>
        <v>0</v>
      </c>
      <c r="M37" s="35">
        <f t="shared" si="7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6"/>
        <v>0</v>
      </c>
      <c r="F38" s="35">
        <f t="shared" si="8"/>
        <v>0</v>
      </c>
      <c r="G38" s="35">
        <f t="shared" si="7"/>
        <v>0</v>
      </c>
      <c r="H38" s="35">
        <f t="shared" si="7"/>
        <v>0</v>
      </c>
      <c r="I38" s="35">
        <f t="shared" si="7"/>
        <v>0</v>
      </c>
      <c r="J38" s="35">
        <f t="shared" si="7"/>
        <v>0</v>
      </c>
      <c r="K38" s="35">
        <f t="shared" si="7"/>
        <v>0</v>
      </c>
      <c r="L38" s="35">
        <f t="shared" si="7"/>
        <v>0</v>
      </c>
      <c r="M38" s="35">
        <f t="shared" si="7"/>
        <v>0</v>
      </c>
      <c r="N38" s="160" t="b">
        <v>0</v>
      </c>
      <c r="O38" s="34"/>
      <c r="P38" s="34"/>
      <c r="Q38" s="34"/>
      <c r="R38" s="34"/>
      <c r="S38" s="34">
        <f>I13</f>
        <v>75</v>
      </c>
      <c r="T38" s="124">
        <f>I63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6"/>
        <v>0</v>
      </c>
      <c r="F39" s="35">
        <f t="shared" si="8"/>
        <v>0</v>
      </c>
      <c r="G39" s="35">
        <f t="shared" si="7"/>
        <v>0</v>
      </c>
      <c r="H39" s="35">
        <f t="shared" si="7"/>
        <v>0</v>
      </c>
      <c r="I39" s="35">
        <f t="shared" si="7"/>
        <v>0</v>
      </c>
      <c r="J39" s="35">
        <f t="shared" si="7"/>
        <v>0</v>
      </c>
      <c r="K39" s="35">
        <f t="shared" si="7"/>
        <v>0</v>
      </c>
      <c r="L39" s="35">
        <f t="shared" si="7"/>
        <v>0</v>
      </c>
      <c r="M39" s="35">
        <f t="shared" si="7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6"/>
        <v>0</v>
      </c>
      <c r="F40" s="35">
        <f t="shared" si="8"/>
        <v>0</v>
      </c>
      <c r="G40" s="35">
        <f t="shared" si="7"/>
        <v>0</v>
      </c>
      <c r="H40" s="35">
        <f t="shared" si="7"/>
        <v>0</v>
      </c>
      <c r="I40" s="35">
        <f t="shared" si="7"/>
        <v>0</v>
      </c>
      <c r="J40" s="35">
        <f t="shared" si="7"/>
        <v>0</v>
      </c>
      <c r="K40" s="35">
        <f t="shared" si="7"/>
        <v>0</v>
      </c>
      <c r="L40" s="35">
        <f t="shared" si="7"/>
        <v>0</v>
      </c>
      <c r="M40" s="35">
        <f t="shared" si="7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6"/>
        <v>0</v>
      </c>
      <c r="F41" s="35">
        <f t="shared" si="8"/>
        <v>0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0</v>
      </c>
      <c r="L41" s="35">
        <f t="shared" si="7"/>
        <v>0</v>
      </c>
      <c r="M41" s="35">
        <f t="shared" si="7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6"/>
        <v>0</v>
      </c>
      <c r="F42" s="35">
        <f t="shared" si="8"/>
        <v>0</v>
      </c>
      <c r="G42" s="35">
        <f t="shared" si="7"/>
        <v>0</v>
      </c>
      <c r="H42" s="35">
        <f t="shared" si="7"/>
        <v>0</v>
      </c>
      <c r="I42" s="35">
        <f t="shared" si="7"/>
        <v>0</v>
      </c>
      <c r="J42" s="35">
        <f t="shared" si="7"/>
        <v>0</v>
      </c>
      <c r="K42" s="35">
        <f t="shared" si="7"/>
        <v>0</v>
      </c>
      <c r="L42" s="35">
        <f t="shared" si="7"/>
        <v>0</v>
      </c>
      <c r="M42" s="35">
        <f t="shared" si="7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6"/>
        <v>0</v>
      </c>
      <c r="F43" s="35">
        <f t="shared" si="8"/>
        <v>0</v>
      </c>
      <c r="G43" s="35">
        <f t="shared" si="7"/>
        <v>0</v>
      </c>
      <c r="H43" s="35">
        <f t="shared" si="7"/>
        <v>0</v>
      </c>
      <c r="I43" s="35">
        <f t="shared" si="7"/>
        <v>0</v>
      </c>
      <c r="J43" s="35">
        <f t="shared" si="7"/>
        <v>0</v>
      </c>
      <c r="K43" s="35">
        <f t="shared" si="7"/>
        <v>0</v>
      </c>
      <c r="L43" s="35">
        <f t="shared" si="7"/>
        <v>0</v>
      </c>
      <c r="M43" s="35">
        <f t="shared" si="7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6"/>
        <v>0</v>
      </c>
      <c r="F44" s="35">
        <f t="shared" si="8"/>
        <v>0</v>
      </c>
      <c r="G44" s="35">
        <f t="shared" si="7"/>
        <v>0</v>
      </c>
      <c r="H44" s="35">
        <f t="shared" si="7"/>
        <v>0</v>
      </c>
      <c r="I44" s="35">
        <f t="shared" si="7"/>
        <v>0</v>
      </c>
      <c r="J44" s="35">
        <f t="shared" si="7"/>
        <v>0</v>
      </c>
      <c r="K44" s="35">
        <f t="shared" si="7"/>
        <v>0</v>
      </c>
      <c r="L44" s="35">
        <f t="shared" si="7"/>
        <v>0</v>
      </c>
      <c r="M44" s="35">
        <f t="shared" si="7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9">($D46/G$13)+$E46</f>
        <v>0</v>
      </c>
      <c r="H46" s="35">
        <f t="shared" si="9"/>
        <v>0</v>
      </c>
      <c r="I46" s="35">
        <f>($D46/I$13)+$E46</f>
        <v>0</v>
      </c>
      <c r="J46" s="35">
        <f t="shared" ref="J46:K50" si="10">($D46/J$13)+$E46</f>
        <v>0</v>
      </c>
      <c r="K46" s="35">
        <f>($D46/K$13)+$E46</f>
        <v>0</v>
      </c>
      <c r="L46" s="35">
        <f>($D46/L$13)+$E46</f>
        <v>0</v>
      </c>
      <c r="M46" s="35">
        <f>($D46/M$13)+$E46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9"/>
        <v>0</v>
      </c>
      <c r="H47" s="35">
        <f t="shared" si="9"/>
        <v>0</v>
      </c>
      <c r="I47" s="35">
        <f t="shared" si="9"/>
        <v>0</v>
      </c>
      <c r="J47" s="35">
        <f t="shared" si="10"/>
        <v>0</v>
      </c>
      <c r="K47" s="35">
        <f t="shared" si="10"/>
        <v>0</v>
      </c>
      <c r="L47" s="35">
        <f t="shared" si="9"/>
        <v>0</v>
      </c>
      <c r="M47" s="35">
        <f t="shared" si="9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1">($D48/F$13)+$E48</f>
        <v>0</v>
      </c>
      <c r="G48" s="35">
        <f t="shared" si="9"/>
        <v>0</v>
      </c>
      <c r="H48" s="35">
        <f t="shared" si="9"/>
        <v>0</v>
      </c>
      <c r="I48" s="35">
        <f t="shared" si="9"/>
        <v>0</v>
      </c>
      <c r="J48" s="35">
        <f t="shared" si="10"/>
        <v>0</v>
      </c>
      <c r="K48" s="35">
        <f t="shared" si="10"/>
        <v>0</v>
      </c>
      <c r="L48" s="35">
        <f t="shared" si="9"/>
        <v>0</v>
      </c>
      <c r="M48" s="35">
        <f t="shared" si="9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1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10"/>
        <v>0</v>
      </c>
      <c r="K49" s="35">
        <f t="shared" si="10"/>
        <v>0</v>
      </c>
      <c r="L49" s="35">
        <f t="shared" si="9"/>
        <v>0</v>
      </c>
      <c r="M49" s="35">
        <f t="shared" si="9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1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10"/>
        <v>0</v>
      </c>
      <c r="K50" s="35">
        <f t="shared" si="10"/>
        <v>0</v>
      </c>
      <c r="L50" s="35">
        <f t="shared" si="9"/>
        <v>0</v>
      </c>
      <c r="M50" s="35">
        <f t="shared" si="9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>SUM(F33:F44)</f>
        <v>0</v>
      </c>
      <c r="G51" s="63">
        <f t="shared" ref="G51:M51" si="12">SUM(G33:G44)</f>
        <v>0</v>
      </c>
      <c r="H51" s="63">
        <f t="shared" si="12"/>
        <v>0</v>
      </c>
      <c r="I51" s="63">
        <f t="shared" si="12"/>
        <v>0</v>
      </c>
      <c r="J51" s="63">
        <f t="shared" ref="J51" si="13">SUM(J33:J44)</f>
        <v>0</v>
      </c>
      <c r="K51" s="63">
        <f t="shared" ref="K51" si="14">SUM(K33:K44)</f>
        <v>0</v>
      </c>
      <c r="L51" s="63">
        <f t="shared" si="12"/>
        <v>0</v>
      </c>
      <c r="M51" s="63">
        <f t="shared" si="12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5">SUM(G46:G50)</f>
        <v>0</v>
      </c>
      <c r="H52" s="15">
        <f t="shared" si="15"/>
        <v>0</v>
      </c>
      <c r="I52" s="15">
        <f t="shared" si="15"/>
        <v>0</v>
      </c>
      <c r="J52" s="15">
        <f t="shared" si="15"/>
        <v>0</v>
      </c>
      <c r="K52" s="15">
        <f t="shared" si="15"/>
        <v>0</v>
      </c>
      <c r="L52" s="15">
        <f t="shared" si="15"/>
        <v>0</v>
      </c>
      <c r="M52" s="15">
        <f t="shared" si="15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16">SUM(G30+G51+G52)</f>
        <v>0</v>
      </c>
      <c r="H53" s="66">
        <f t="shared" si="16"/>
        <v>0</v>
      </c>
      <c r="I53" s="66">
        <f t="shared" si="16"/>
        <v>0</v>
      </c>
      <c r="J53" s="66">
        <f t="shared" si="16"/>
        <v>0</v>
      </c>
      <c r="K53" s="66">
        <f t="shared" si="16"/>
        <v>0</v>
      </c>
      <c r="L53" s="66">
        <f t="shared" si="16"/>
        <v>0</v>
      </c>
      <c r="M53" s="66">
        <f t="shared" si="16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17">(F55-F53)/F55</f>
        <v>#REF!</v>
      </c>
      <c r="G56" s="74" t="e">
        <f t="shared" si="17"/>
        <v>#REF!</v>
      </c>
      <c r="H56" s="74" t="e">
        <f t="shared" si="17"/>
        <v>#REF!</v>
      </c>
      <c r="I56" s="74" t="e">
        <f t="shared" si="17"/>
        <v>#REF!</v>
      </c>
      <c r="J56" s="74" t="e">
        <f t="shared" si="17"/>
        <v>#REF!</v>
      </c>
      <c r="K56" s="74" t="e">
        <f t="shared" si="17"/>
        <v>#REF!</v>
      </c>
      <c r="L56" s="74" t="e">
        <f t="shared" si="17"/>
        <v>#REF!</v>
      </c>
      <c r="M56" s="74" t="e">
        <f t="shared" si="17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18">G30</f>
        <v>0</v>
      </c>
      <c r="H57" s="76">
        <f t="shared" si="18"/>
        <v>0</v>
      </c>
      <c r="I57" s="76">
        <f t="shared" si="18"/>
        <v>0</v>
      </c>
      <c r="J57" s="76">
        <f t="shared" si="18"/>
        <v>0</v>
      </c>
      <c r="K57" s="76">
        <f t="shared" si="18"/>
        <v>0</v>
      </c>
      <c r="L57" s="76">
        <f t="shared" si="18"/>
        <v>0</v>
      </c>
      <c r="M57" s="76">
        <f t="shared" si="18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9" si="19">G51</f>
        <v>0</v>
      </c>
      <c r="H58" s="14">
        <f t="shared" si="19"/>
        <v>0</v>
      </c>
      <c r="I58" s="14">
        <f t="shared" si="19"/>
        <v>0</v>
      </c>
      <c r="J58" s="14">
        <f t="shared" si="19"/>
        <v>0</v>
      </c>
      <c r="K58" s="14">
        <f t="shared" si="19"/>
        <v>0</v>
      </c>
      <c r="L58" s="14">
        <f t="shared" si="19"/>
        <v>0</v>
      </c>
      <c r="M58" s="14">
        <f t="shared" si="19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20">F52</f>
        <v>0</v>
      </c>
      <c r="G59" s="14">
        <f t="shared" si="20"/>
        <v>0</v>
      </c>
      <c r="H59" s="14">
        <f t="shared" si="20"/>
        <v>0</v>
      </c>
      <c r="I59" s="14">
        <f t="shared" si="20"/>
        <v>0</v>
      </c>
      <c r="J59" s="14">
        <f t="shared" si="19"/>
        <v>0</v>
      </c>
      <c r="K59" s="14">
        <f t="shared" si="19"/>
        <v>0</v>
      </c>
      <c r="L59" s="14">
        <f t="shared" si="20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21">SUM(G57:G59)</f>
        <v>0</v>
      </c>
      <c r="H60" s="62">
        <f t="shared" si="21"/>
        <v>0</v>
      </c>
      <c r="I60" s="62">
        <f t="shared" si="21"/>
        <v>0</v>
      </c>
      <c r="J60" s="62">
        <f t="shared" si="21"/>
        <v>0</v>
      </c>
      <c r="K60" s="62">
        <f t="shared" si="21"/>
        <v>0</v>
      </c>
      <c r="L60" s="62">
        <f t="shared" si="21"/>
        <v>0</v>
      </c>
      <c r="M60" s="62">
        <f t="shared" si="21"/>
        <v>0</v>
      </c>
      <c r="N60" s="77">
        <f t="shared" si="21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22">$N$60/F13</f>
        <v>0</v>
      </c>
      <c r="G61" s="77">
        <f t="shared" si="22"/>
        <v>0</v>
      </c>
      <c r="H61" s="62">
        <f t="shared" si="22"/>
        <v>0</v>
      </c>
      <c r="I61" s="77">
        <f t="shared" si="22"/>
        <v>0</v>
      </c>
      <c r="J61" s="77">
        <f t="shared" si="22"/>
        <v>0</v>
      </c>
      <c r="K61" s="77">
        <f t="shared" si="22"/>
        <v>0</v>
      </c>
      <c r="L61" s="77">
        <f t="shared" si="22"/>
        <v>0</v>
      </c>
      <c r="M61" s="77">
        <f t="shared" si="22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11</v>
      </c>
      <c r="E63" s="206"/>
      <c r="F63" s="80">
        <f>SUM(F60:F62)</f>
        <v>0</v>
      </c>
      <c r="G63" s="80">
        <f t="shared" ref="G63:M63" si="23">SUM(G60:G62)</f>
        <v>0</v>
      </c>
      <c r="H63" s="80">
        <f t="shared" si="23"/>
        <v>0</v>
      </c>
      <c r="I63" s="80">
        <f t="shared" si="23"/>
        <v>0</v>
      </c>
      <c r="J63" s="80">
        <f t="shared" si="23"/>
        <v>0</v>
      </c>
      <c r="K63" s="80">
        <f t="shared" si="23"/>
        <v>0</v>
      </c>
      <c r="L63" s="80">
        <f t="shared" si="23"/>
        <v>0</v>
      </c>
      <c r="M63" s="80">
        <f t="shared" si="23"/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61:E61"/>
    <mergeCell ref="B2:C2"/>
    <mergeCell ref="B3:C3"/>
    <mergeCell ref="B6:D6"/>
    <mergeCell ref="B51:E51"/>
    <mergeCell ref="B52:E52"/>
    <mergeCell ref="F2:N2"/>
    <mergeCell ref="F3:N10"/>
    <mergeCell ref="D125:E125"/>
    <mergeCell ref="D126:E126"/>
    <mergeCell ref="D62:E62"/>
    <mergeCell ref="D63:E63"/>
    <mergeCell ref="B53:E53"/>
    <mergeCell ref="D56:E56"/>
    <mergeCell ref="D57:E57"/>
    <mergeCell ref="C58:E58"/>
    <mergeCell ref="D59:E59"/>
    <mergeCell ref="D60:E60"/>
    <mergeCell ref="B73:C73"/>
    <mergeCell ref="B117:E117"/>
    <mergeCell ref="B118:E118"/>
    <mergeCell ref="B119:E119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5" name="Check Box 1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6" name="Check Box 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7" name="Check Box 3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8" name="Check Box 4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9" name="Check Box 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10" name="Check Box 6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1" name="Check Box 7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2" name="Check Box 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3" name="Check Box 9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4" name="Check Box 1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41</xdr:row>
                    <xdr:rowOff>0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5" name="Check Box 1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6" name="Check Box 12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A60152-DE74-48AF-BB9C-A738E61C7E67}">
          <x14:formula1>
            <xm:f>'Top Assy'!$A$135:$A$174</xm:f>
          </x14:formula1>
          <xm:sqref>A14:A25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F126"/>
  <sheetViews>
    <sheetView zoomScaleNormal="100" zoomScalePageLayoutView="70" workbookViewId="0">
      <selection activeCell="B3" sqref="B3:C3"/>
    </sheetView>
  </sheetViews>
  <sheetFormatPr defaultRowHeight="15" x14ac:dyDescent="0.25"/>
  <cols>
    <col min="1" max="1" width="29.85546875" customWidth="1"/>
    <col min="2" max="4" width="8.7109375" customWidth="1"/>
    <col min="5" max="5" width="10.5703125" bestFit="1" customWidth="1"/>
    <col min="6" max="13" width="8.7109375" customWidth="1"/>
    <col min="14" max="14" width="9.42578125" customWidth="1"/>
  </cols>
  <sheetData>
    <row r="1" spans="1:32" ht="13.5" customHeight="1" thickBot="1" x14ac:dyDescent="0.3">
      <c r="A1" s="11"/>
      <c r="B1" s="11"/>
      <c r="C1" s="11"/>
      <c r="D1" s="11"/>
      <c r="E1" s="11"/>
      <c r="F1" s="11"/>
      <c r="G1" s="11"/>
      <c r="H1" s="11"/>
      <c r="I1" s="11"/>
      <c r="J1" s="9"/>
      <c r="K1" s="11"/>
      <c r="L1" s="11"/>
      <c r="M1" s="11"/>
      <c r="N1" s="9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</row>
    <row r="2" spans="1:32" ht="13.5" customHeight="1" x14ac:dyDescent="0.25">
      <c r="A2" s="27" t="s">
        <v>23</v>
      </c>
      <c r="B2" s="193"/>
      <c r="C2" s="194"/>
      <c r="D2" s="37"/>
      <c r="E2" s="37"/>
      <c r="F2" s="223" t="s">
        <v>85</v>
      </c>
      <c r="G2" s="224"/>
      <c r="H2" s="224"/>
      <c r="I2" s="224"/>
      <c r="J2" s="224"/>
      <c r="K2" s="224"/>
      <c r="L2" s="224"/>
      <c r="M2" s="224"/>
      <c r="N2" s="225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</row>
    <row r="3" spans="1:32" ht="13.5" customHeight="1" x14ac:dyDescent="0.25">
      <c r="A3" s="26" t="s">
        <v>25</v>
      </c>
      <c r="B3" s="203">
        <v>12</v>
      </c>
      <c r="C3" s="203"/>
      <c r="D3" s="58" t="s">
        <v>36</v>
      </c>
      <c r="E3" s="59"/>
      <c r="F3" s="226"/>
      <c r="G3" s="227"/>
      <c r="H3" s="227"/>
      <c r="I3" s="227"/>
      <c r="J3" s="227"/>
      <c r="K3" s="227"/>
      <c r="L3" s="227"/>
      <c r="M3" s="227"/>
      <c r="N3" s="228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</row>
    <row r="4" spans="1:32" ht="13.5" customHeight="1" x14ac:dyDescent="0.25">
      <c r="A4" s="26" t="s">
        <v>24</v>
      </c>
      <c r="B4" s="59"/>
      <c r="C4" s="60"/>
      <c r="D4" s="58" t="s">
        <v>37</v>
      </c>
      <c r="E4" s="59"/>
      <c r="F4" s="226"/>
      <c r="G4" s="227"/>
      <c r="H4" s="227"/>
      <c r="I4" s="227"/>
      <c r="J4" s="227"/>
      <c r="K4" s="227"/>
      <c r="L4" s="227"/>
      <c r="M4" s="227"/>
      <c r="N4" s="228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</row>
    <row r="5" spans="1:32" ht="13.5" customHeight="1" x14ac:dyDescent="0.25">
      <c r="A5" s="26" t="s">
        <v>26</v>
      </c>
      <c r="B5" s="59"/>
      <c r="C5" s="60"/>
      <c r="D5" s="58" t="s">
        <v>38</v>
      </c>
      <c r="E5" s="59"/>
      <c r="F5" s="226"/>
      <c r="G5" s="227"/>
      <c r="H5" s="227"/>
      <c r="I5" s="227"/>
      <c r="J5" s="227"/>
      <c r="K5" s="227"/>
      <c r="L5" s="227"/>
      <c r="M5" s="227"/>
      <c r="N5" s="228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</row>
    <row r="6" spans="1:32" ht="13.5" customHeight="1" x14ac:dyDescent="0.25">
      <c r="A6" s="26" t="s">
        <v>27</v>
      </c>
      <c r="B6" s="204" t="str">
        <f>F13&amp;", "&amp;G13&amp;", "&amp;H13&amp;", "&amp;I13&amp;", "&amp;J13&amp;", "&amp;K13&amp;", "&amp;L13&amp;", "&amp;M13</f>
        <v>10, 25, 50, 75, 100, 250, 500, 1000</v>
      </c>
      <c r="C6" s="204"/>
      <c r="D6" s="204"/>
      <c r="E6" s="38"/>
      <c r="F6" s="226"/>
      <c r="G6" s="227"/>
      <c r="H6" s="227"/>
      <c r="I6" s="227"/>
      <c r="J6" s="227"/>
      <c r="K6" s="227"/>
      <c r="L6" s="227"/>
      <c r="M6" s="227"/>
      <c r="N6" s="228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</row>
    <row r="7" spans="1:32" ht="13.5" customHeight="1" x14ac:dyDescent="0.25">
      <c r="A7" s="26" t="s">
        <v>28</v>
      </c>
      <c r="B7" s="61"/>
      <c r="C7" s="60"/>
      <c r="D7" s="38"/>
      <c r="E7" s="38"/>
      <c r="F7" s="226"/>
      <c r="G7" s="227"/>
      <c r="H7" s="227"/>
      <c r="I7" s="227"/>
      <c r="J7" s="227"/>
      <c r="K7" s="227"/>
      <c r="L7" s="227"/>
      <c r="M7" s="227"/>
      <c r="N7" s="228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</row>
    <row r="8" spans="1:32" ht="13.5" customHeight="1" x14ac:dyDescent="0.25">
      <c r="A8" s="26" t="s">
        <v>29</v>
      </c>
      <c r="B8" s="59"/>
      <c r="C8" s="60"/>
      <c r="D8" s="38"/>
      <c r="E8" s="38"/>
      <c r="F8" s="226"/>
      <c r="G8" s="227"/>
      <c r="H8" s="227"/>
      <c r="I8" s="227"/>
      <c r="J8" s="227"/>
      <c r="K8" s="227"/>
      <c r="L8" s="227"/>
      <c r="M8" s="227"/>
      <c r="N8" s="228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</row>
    <row r="9" spans="1:32" ht="13.5" customHeight="1" x14ac:dyDescent="0.25">
      <c r="A9" s="128"/>
      <c r="B9" s="38"/>
      <c r="C9" s="38"/>
      <c r="D9" s="38"/>
      <c r="E9" s="38"/>
      <c r="F9" s="226"/>
      <c r="G9" s="227"/>
      <c r="H9" s="227"/>
      <c r="I9" s="227"/>
      <c r="J9" s="227"/>
      <c r="K9" s="227"/>
      <c r="L9" s="227"/>
      <c r="M9" s="227"/>
      <c r="N9" s="228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</row>
    <row r="10" spans="1:32" ht="13.5" customHeight="1" thickBot="1" x14ac:dyDescent="0.3">
      <c r="A10" s="129"/>
      <c r="B10" s="130"/>
      <c r="C10" s="130"/>
      <c r="D10" s="130"/>
      <c r="E10" s="130"/>
      <c r="F10" s="229"/>
      <c r="G10" s="230"/>
      <c r="H10" s="230"/>
      <c r="I10" s="230"/>
      <c r="J10" s="230"/>
      <c r="K10" s="230"/>
      <c r="L10" s="230"/>
      <c r="M10" s="230"/>
      <c r="N10" s="231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</row>
    <row r="11" spans="1:32" ht="13.5" customHeight="1" x14ac:dyDescent="0.25">
      <c r="A11" s="25" t="s">
        <v>42</v>
      </c>
      <c r="B11" s="9"/>
      <c r="C11" s="9"/>
      <c r="D11" s="9"/>
      <c r="E11" s="9"/>
      <c r="F11" s="46" t="s">
        <v>0</v>
      </c>
      <c r="G11" s="8"/>
      <c r="H11" s="8"/>
      <c r="I11" s="8"/>
      <c r="J11" s="8"/>
      <c r="K11" s="8"/>
      <c r="L11" s="8"/>
      <c r="M11" s="8"/>
      <c r="N11" s="55" t="s">
        <v>30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</row>
    <row r="12" spans="1:32" ht="13.5" customHeight="1" thickBot="1" x14ac:dyDescent="0.3">
      <c r="A12" s="13"/>
      <c r="B12" s="9"/>
      <c r="C12" s="9"/>
      <c r="D12" s="9"/>
      <c r="E12" s="9"/>
      <c r="F12" s="47"/>
      <c r="G12" s="48"/>
      <c r="H12" s="48"/>
      <c r="I12" s="48"/>
      <c r="J12" s="48"/>
      <c r="K12" s="48"/>
      <c r="L12" s="48"/>
      <c r="M12" s="79"/>
      <c r="N12" s="49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</row>
    <row r="13" spans="1:32" ht="27.75" customHeight="1" thickBot="1" x14ac:dyDescent="0.3">
      <c r="A13" s="104"/>
      <c r="B13" s="105" t="s">
        <v>10</v>
      </c>
      <c r="C13" s="105" t="s">
        <v>11</v>
      </c>
      <c r="D13" s="105"/>
      <c r="E13" s="102" t="s">
        <v>1</v>
      </c>
      <c r="F13" s="104">
        <f>'Top Assy'!F13</f>
        <v>10</v>
      </c>
      <c r="G13" s="104">
        <f>'Top Assy'!G13</f>
        <v>25</v>
      </c>
      <c r="H13" s="104">
        <f>'Top Assy'!H13</f>
        <v>50</v>
      </c>
      <c r="I13" s="104">
        <f>'Top Assy'!I13</f>
        <v>75</v>
      </c>
      <c r="J13" s="104">
        <f>'Top Assy'!J13</f>
        <v>100</v>
      </c>
      <c r="K13" s="104">
        <f>'Top Assy'!K13</f>
        <v>250</v>
      </c>
      <c r="L13" s="104">
        <f>'Top Assy'!L13</f>
        <v>500</v>
      </c>
      <c r="M13" s="104">
        <f>'Top Assy'!M13</f>
        <v>1000</v>
      </c>
      <c r="N13" s="103">
        <v>1</v>
      </c>
      <c r="O13" s="121"/>
      <c r="P13" s="122"/>
      <c r="Q13" s="122"/>
      <c r="R13" s="122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</row>
    <row r="14" spans="1:32" ht="13.5" customHeight="1" x14ac:dyDescent="0.25">
      <c r="A14" s="65" t="s">
        <v>72</v>
      </c>
      <c r="B14" s="50"/>
      <c r="C14" s="51"/>
      <c r="D14" s="52"/>
      <c r="E14" s="53">
        <v>0</v>
      </c>
      <c r="F14" s="53"/>
      <c r="G14" s="54"/>
      <c r="H14" s="54"/>
      <c r="I14" s="54"/>
      <c r="J14" s="54"/>
      <c r="K14" s="54"/>
      <c r="L14" s="54"/>
      <c r="M14" s="54"/>
      <c r="N14" s="54">
        <f>(($B14/N$13*$E14)+($C14*$E14))</f>
        <v>0</v>
      </c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</row>
    <row r="15" spans="1:32" ht="13.5" customHeight="1" x14ac:dyDescent="0.25">
      <c r="A15" s="65" t="s">
        <v>73</v>
      </c>
      <c r="B15" s="50"/>
      <c r="C15" s="51"/>
      <c r="D15" s="52"/>
      <c r="E15" s="53">
        <v>0</v>
      </c>
      <c r="F15" s="53"/>
      <c r="G15" s="54"/>
      <c r="H15" s="54"/>
      <c r="I15" s="54"/>
      <c r="J15" s="54"/>
      <c r="K15" s="54"/>
      <c r="L15" s="54"/>
      <c r="M15" s="54"/>
      <c r="N15" s="54">
        <f>(($B15/N$13*$E15)+($C15*$E15))</f>
        <v>0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</row>
    <row r="16" spans="1:32" ht="13.5" customHeight="1" x14ac:dyDescent="0.25">
      <c r="A16" s="65" t="s">
        <v>52</v>
      </c>
      <c r="B16" s="38"/>
      <c r="C16" s="39"/>
      <c r="D16" s="40"/>
      <c r="E16" s="14">
        <v>0</v>
      </c>
      <c r="F16" s="14">
        <f t="shared" ref="F16:M25" si="0">(($B16/F$13*$E16)+($C16*$E16))</f>
        <v>0</v>
      </c>
      <c r="G16" s="14">
        <f t="shared" si="0"/>
        <v>0</v>
      </c>
      <c r="H16" s="14">
        <f t="shared" si="0"/>
        <v>0</v>
      </c>
      <c r="I16" s="14">
        <f t="shared" si="0"/>
        <v>0</v>
      </c>
      <c r="J16" s="14">
        <f t="shared" si="0"/>
        <v>0</v>
      </c>
      <c r="K16" s="14">
        <f t="shared" si="0"/>
        <v>0</v>
      </c>
      <c r="L16" s="14">
        <f t="shared" si="0"/>
        <v>0</v>
      </c>
      <c r="M16" s="14">
        <f t="shared" si="0"/>
        <v>0</v>
      </c>
      <c r="N16" s="15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</row>
    <row r="17" spans="1:32" ht="13.5" customHeight="1" x14ac:dyDescent="0.25">
      <c r="A17" s="65" t="s">
        <v>74</v>
      </c>
      <c r="B17" s="38"/>
      <c r="C17" s="39"/>
      <c r="D17" s="40"/>
      <c r="E17" s="14">
        <v>0</v>
      </c>
      <c r="F17" s="14">
        <f t="shared" si="0"/>
        <v>0</v>
      </c>
      <c r="G17" s="14">
        <f t="shared" si="0"/>
        <v>0</v>
      </c>
      <c r="H17" s="14">
        <f t="shared" si="0"/>
        <v>0</v>
      </c>
      <c r="I17" s="14">
        <f t="shared" si="0"/>
        <v>0</v>
      </c>
      <c r="J17" s="14">
        <f t="shared" si="0"/>
        <v>0</v>
      </c>
      <c r="K17" s="14">
        <f t="shared" si="0"/>
        <v>0</v>
      </c>
      <c r="L17" s="14">
        <f t="shared" si="0"/>
        <v>0</v>
      </c>
      <c r="M17" s="14">
        <f t="shared" si="0"/>
        <v>0</v>
      </c>
      <c r="N17" s="15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</row>
    <row r="18" spans="1:32" ht="13.5" customHeight="1" x14ac:dyDescent="0.25">
      <c r="A18" s="65" t="s">
        <v>75</v>
      </c>
      <c r="B18" s="38"/>
      <c r="C18" s="39"/>
      <c r="D18" s="40"/>
      <c r="E18" s="14">
        <v>0</v>
      </c>
      <c r="F18" s="14">
        <f t="shared" si="0"/>
        <v>0</v>
      </c>
      <c r="G18" s="14">
        <f t="shared" si="0"/>
        <v>0</v>
      </c>
      <c r="H18" s="14">
        <f t="shared" si="0"/>
        <v>0</v>
      </c>
      <c r="I18" s="14">
        <f t="shared" si="0"/>
        <v>0</v>
      </c>
      <c r="J18" s="14">
        <f t="shared" si="0"/>
        <v>0</v>
      </c>
      <c r="K18" s="14">
        <f t="shared" si="0"/>
        <v>0</v>
      </c>
      <c r="L18" s="14">
        <f t="shared" si="0"/>
        <v>0</v>
      </c>
      <c r="M18" s="14">
        <f t="shared" si="0"/>
        <v>0</v>
      </c>
      <c r="N18" s="15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</row>
    <row r="19" spans="1:32" ht="13.5" customHeight="1" x14ac:dyDescent="0.25">
      <c r="A19" s="65" t="s">
        <v>76</v>
      </c>
      <c r="B19" s="38"/>
      <c r="C19" s="39"/>
      <c r="D19" s="40"/>
      <c r="E19" s="14">
        <v>0</v>
      </c>
      <c r="F19" s="14">
        <f t="shared" si="0"/>
        <v>0</v>
      </c>
      <c r="G19" s="14">
        <f t="shared" si="0"/>
        <v>0</v>
      </c>
      <c r="H19" s="14">
        <f t="shared" si="0"/>
        <v>0</v>
      </c>
      <c r="I19" s="14">
        <f t="shared" si="0"/>
        <v>0</v>
      </c>
      <c r="J19" s="14">
        <f t="shared" si="0"/>
        <v>0</v>
      </c>
      <c r="K19" s="14">
        <f t="shared" si="0"/>
        <v>0</v>
      </c>
      <c r="L19" s="14">
        <f t="shared" si="0"/>
        <v>0</v>
      </c>
      <c r="M19" s="14">
        <f t="shared" si="0"/>
        <v>0</v>
      </c>
      <c r="N19" s="15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</row>
    <row r="20" spans="1:32" ht="13.5" customHeight="1" x14ac:dyDescent="0.25">
      <c r="A20" s="65" t="s">
        <v>77</v>
      </c>
      <c r="B20" s="38"/>
      <c r="C20" s="39"/>
      <c r="D20" s="40"/>
      <c r="E20" s="14">
        <v>0</v>
      </c>
      <c r="F20" s="14">
        <f t="shared" si="0"/>
        <v>0</v>
      </c>
      <c r="G20" s="14">
        <f t="shared" si="0"/>
        <v>0</v>
      </c>
      <c r="H20" s="14">
        <f t="shared" si="0"/>
        <v>0</v>
      </c>
      <c r="I20" s="14">
        <f t="shared" si="0"/>
        <v>0</v>
      </c>
      <c r="J20" s="14">
        <f t="shared" si="0"/>
        <v>0</v>
      </c>
      <c r="K20" s="14">
        <f t="shared" si="0"/>
        <v>0</v>
      </c>
      <c r="L20" s="14">
        <f t="shared" si="0"/>
        <v>0</v>
      </c>
      <c r="M20" s="14">
        <f t="shared" si="0"/>
        <v>0</v>
      </c>
      <c r="N20" s="15"/>
      <c r="O20" s="123"/>
      <c r="P20" s="113"/>
      <c r="Q20" s="113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</row>
    <row r="21" spans="1:32" ht="13.5" customHeight="1" x14ac:dyDescent="0.25">
      <c r="A21" s="65" t="s">
        <v>78</v>
      </c>
      <c r="B21" s="38"/>
      <c r="C21" s="39"/>
      <c r="D21" s="40"/>
      <c r="E21" s="14">
        <v>0</v>
      </c>
      <c r="F21" s="14">
        <f t="shared" si="0"/>
        <v>0</v>
      </c>
      <c r="G21" s="14">
        <f t="shared" si="0"/>
        <v>0</v>
      </c>
      <c r="H21" s="14">
        <f t="shared" si="0"/>
        <v>0</v>
      </c>
      <c r="I21" s="14">
        <f t="shared" si="0"/>
        <v>0</v>
      </c>
      <c r="J21" s="14">
        <f t="shared" si="0"/>
        <v>0</v>
      </c>
      <c r="K21" s="14">
        <f t="shared" si="0"/>
        <v>0</v>
      </c>
      <c r="L21" s="14">
        <f t="shared" si="0"/>
        <v>0</v>
      </c>
      <c r="M21" s="14">
        <f t="shared" si="0"/>
        <v>0</v>
      </c>
      <c r="N21" s="15"/>
      <c r="O21" s="34"/>
      <c r="P21" s="34"/>
      <c r="Q21" s="12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</row>
    <row r="22" spans="1:32" ht="13.5" customHeight="1" x14ac:dyDescent="0.25">
      <c r="A22" s="65" t="s">
        <v>80</v>
      </c>
      <c r="B22" s="38"/>
      <c r="C22" s="39"/>
      <c r="D22" s="40"/>
      <c r="E22" s="14">
        <v>0</v>
      </c>
      <c r="F22" s="14">
        <f t="shared" si="0"/>
        <v>0</v>
      </c>
      <c r="G22" s="14">
        <f t="shared" si="0"/>
        <v>0</v>
      </c>
      <c r="H22" s="14">
        <f t="shared" si="0"/>
        <v>0</v>
      </c>
      <c r="I22" s="14">
        <f t="shared" si="0"/>
        <v>0</v>
      </c>
      <c r="J22" s="14">
        <f t="shared" si="0"/>
        <v>0</v>
      </c>
      <c r="K22" s="14">
        <f t="shared" si="0"/>
        <v>0</v>
      </c>
      <c r="L22" s="14">
        <f t="shared" si="0"/>
        <v>0</v>
      </c>
      <c r="M22" s="14">
        <f t="shared" si="0"/>
        <v>0</v>
      </c>
      <c r="N22" s="15"/>
      <c r="O22" s="34"/>
      <c r="P22" s="34"/>
      <c r="Q22" s="12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</row>
    <row r="23" spans="1:32" ht="13.5" customHeight="1" x14ac:dyDescent="0.25">
      <c r="A23" s="65" t="s">
        <v>81</v>
      </c>
      <c r="B23" s="38"/>
      <c r="C23" s="39"/>
      <c r="D23" s="40"/>
      <c r="E23" s="14">
        <v>0</v>
      </c>
      <c r="F23" s="14">
        <f t="shared" si="0"/>
        <v>0</v>
      </c>
      <c r="G23" s="14">
        <f t="shared" si="0"/>
        <v>0</v>
      </c>
      <c r="H23" s="14">
        <f t="shared" si="0"/>
        <v>0</v>
      </c>
      <c r="I23" s="14">
        <f t="shared" si="0"/>
        <v>0</v>
      </c>
      <c r="J23" s="14">
        <f t="shared" si="0"/>
        <v>0</v>
      </c>
      <c r="K23" s="14">
        <f t="shared" si="0"/>
        <v>0</v>
      </c>
      <c r="L23" s="14">
        <f t="shared" si="0"/>
        <v>0</v>
      </c>
      <c r="M23" s="14">
        <f t="shared" si="0"/>
        <v>0</v>
      </c>
      <c r="N23" s="15"/>
      <c r="O23" s="34"/>
      <c r="P23" s="34"/>
      <c r="Q23" s="12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</row>
    <row r="24" spans="1:32" ht="13.5" customHeight="1" x14ac:dyDescent="0.25">
      <c r="A24" s="190" t="s">
        <v>79</v>
      </c>
      <c r="B24" s="38"/>
      <c r="C24" s="39"/>
      <c r="D24" s="40"/>
      <c r="E24" s="14">
        <v>0</v>
      </c>
      <c r="F24" s="14">
        <f t="shared" si="0"/>
        <v>0</v>
      </c>
      <c r="G24" s="14">
        <f t="shared" si="0"/>
        <v>0</v>
      </c>
      <c r="H24" s="14">
        <f t="shared" si="0"/>
        <v>0</v>
      </c>
      <c r="I24" s="14">
        <f t="shared" si="0"/>
        <v>0</v>
      </c>
      <c r="J24" s="14">
        <f t="shared" si="0"/>
        <v>0</v>
      </c>
      <c r="K24" s="14">
        <f t="shared" si="0"/>
        <v>0</v>
      </c>
      <c r="L24" s="14">
        <f t="shared" si="0"/>
        <v>0</v>
      </c>
      <c r="M24" s="14">
        <f t="shared" si="0"/>
        <v>0</v>
      </c>
      <c r="N24" s="15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</row>
    <row r="25" spans="1:32" ht="13.5" customHeight="1" thickBot="1" x14ac:dyDescent="0.3">
      <c r="A25" s="190" t="s">
        <v>92</v>
      </c>
      <c r="B25" s="38"/>
      <c r="C25" s="39"/>
      <c r="D25" s="40"/>
      <c r="E25" s="14">
        <v>0</v>
      </c>
      <c r="F25" s="14">
        <f t="shared" si="0"/>
        <v>0</v>
      </c>
      <c r="G25" s="14">
        <f t="shared" si="0"/>
        <v>0</v>
      </c>
      <c r="H25" s="14">
        <f t="shared" si="0"/>
        <v>0</v>
      </c>
      <c r="I25" s="14">
        <f t="shared" si="0"/>
        <v>0</v>
      </c>
      <c r="J25" s="14">
        <f t="shared" si="0"/>
        <v>0</v>
      </c>
      <c r="K25" s="14">
        <f t="shared" si="0"/>
        <v>0</v>
      </c>
      <c r="L25" s="14">
        <f t="shared" si="0"/>
        <v>0</v>
      </c>
      <c r="M25" s="14">
        <f t="shared" si="0"/>
        <v>0</v>
      </c>
      <c r="N25" s="15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</row>
    <row r="26" spans="1:32" ht="13.5" customHeight="1" x14ac:dyDescent="0.25">
      <c r="A26" s="126"/>
      <c r="B26" s="7"/>
      <c r="C26" s="8" t="s">
        <v>2</v>
      </c>
      <c r="D26" s="8"/>
      <c r="E26" s="16" t="s">
        <v>5</v>
      </c>
      <c r="F26" s="17">
        <f t="shared" ref="F26:M26" si="1">SUM(F16:F25)</f>
        <v>0</v>
      </c>
      <c r="G26" s="17">
        <f t="shared" si="1"/>
        <v>0</v>
      </c>
      <c r="H26" s="17">
        <f t="shared" si="1"/>
        <v>0</v>
      </c>
      <c r="I26" s="17">
        <f t="shared" si="1"/>
        <v>0</v>
      </c>
      <c r="J26" s="17">
        <f t="shared" si="1"/>
        <v>0</v>
      </c>
      <c r="K26" s="17">
        <f t="shared" si="1"/>
        <v>0</v>
      </c>
      <c r="L26" s="17">
        <f t="shared" si="1"/>
        <v>0</v>
      </c>
      <c r="M26" s="17">
        <f t="shared" si="1"/>
        <v>0</v>
      </c>
      <c r="N26" s="57">
        <f>SUM(N14:N25)</f>
        <v>0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</row>
    <row r="27" spans="1:32" ht="13.5" customHeight="1" x14ac:dyDescent="0.25">
      <c r="A27" s="126"/>
      <c r="B27" s="18" t="s">
        <v>3</v>
      </c>
      <c r="C27" s="19" t="s">
        <v>4</v>
      </c>
      <c r="D27" s="9"/>
      <c r="E27" s="10" t="s">
        <v>6</v>
      </c>
      <c r="F27" s="20">
        <f t="shared" ref="F27:M27" si="2">(($B$28/F13)+$C$28)/60</f>
        <v>0</v>
      </c>
      <c r="G27" s="20">
        <f t="shared" si="2"/>
        <v>0</v>
      </c>
      <c r="H27" s="20">
        <f t="shared" si="2"/>
        <v>0</v>
      </c>
      <c r="I27" s="20">
        <f t="shared" si="2"/>
        <v>0</v>
      </c>
      <c r="J27" s="20">
        <f t="shared" si="2"/>
        <v>0</v>
      </c>
      <c r="K27" s="20">
        <f t="shared" si="2"/>
        <v>0</v>
      </c>
      <c r="L27" s="20">
        <f t="shared" si="2"/>
        <v>0</v>
      </c>
      <c r="M27" s="20">
        <f t="shared" si="2"/>
        <v>0</v>
      </c>
      <c r="N27" s="5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</row>
    <row r="28" spans="1:32" ht="13.5" customHeight="1" x14ac:dyDescent="0.25">
      <c r="A28" s="126"/>
      <c r="B28" s="13">
        <f>SUM(B16:B25)</f>
        <v>0</v>
      </c>
      <c r="C28" s="9">
        <f>SUM(C16:C25)</f>
        <v>0</v>
      </c>
      <c r="D28" s="118">
        <v>0</v>
      </c>
      <c r="E28" s="10" t="s">
        <v>7</v>
      </c>
      <c r="F28" s="20">
        <f>F26*$D$28</f>
        <v>0</v>
      </c>
      <c r="G28" s="20">
        <f t="shared" ref="G28:M28" si="3">G26*$D$28</f>
        <v>0</v>
      </c>
      <c r="H28" s="20">
        <f t="shared" si="3"/>
        <v>0</v>
      </c>
      <c r="I28" s="20">
        <f t="shared" si="3"/>
        <v>0</v>
      </c>
      <c r="J28" s="20">
        <f t="shared" si="3"/>
        <v>0</v>
      </c>
      <c r="K28" s="20">
        <f t="shared" si="3"/>
        <v>0</v>
      </c>
      <c r="L28" s="20">
        <f t="shared" si="3"/>
        <v>0</v>
      </c>
      <c r="M28" s="20">
        <f t="shared" si="3"/>
        <v>0</v>
      </c>
      <c r="N28" s="56"/>
      <c r="O28" s="125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</row>
    <row r="29" spans="1:32" ht="13.5" customHeight="1" x14ac:dyDescent="0.25">
      <c r="A29" s="126"/>
      <c r="B29" s="13"/>
      <c r="C29" s="9"/>
      <c r="D29" s="9"/>
      <c r="E29" s="10"/>
      <c r="F29" s="9"/>
      <c r="G29" s="9"/>
      <c r="H29" s="9"/>
      <c r="I29" s="9"/>
      <c r="J29" s="9"/>
      <c r="K29" s="9"/>
      <c r="L29" s="9"/>
      <c r="M29" s="9"/>
      <c r="N29" s="10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</row>
    <row r="30" spans="1:32" ht="13.5" customHeight="1" x14ac:dyDescent="0.25">
      <c r="A30" s="126"/>
      <c r="B30" s="13"/>
      <c r="C30" s="9"/>
      <c r="D30" s="9"/>
      <c r="E30" s="21" t="s">
        <v>8</v>
      </c>
      <c r="F30" s="22">
        <f>F26+F28</f>
        <v>0</v>
      </c>
      <c r="G30" s="22">
        <f t="shared" ref="G30:M30" si="4">G26+G28</f>
        <v>0</v>
      </c>
      <c r="H30" s="22">
        <f t="shared" si="4"/>
        <v>0</v>
      </c>
      <c r="I30" s="22">
        <f t="shared" si="4"/>
        <v>0</v>
      </c>
      <c r="J30" s="22">
        <f t="shared" si="4"/>
        <v>0</v>
      </c>
      <c r="K30" s="22">
        <f t="shared" si="4"/>
        <v>0</v>
      </c>
      <c r="L30" s="22">
        <f t="shared" si="4"/>
        <v>0</v>
      </c>
      <c r="M30" s="22">
        <f t="shared" si="4"/>
        <v>0</v>
      </c>
      <c r="N30" s="23">
        <f>N26</f>
        <v>0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</row>
    <row r="31" spans="1:32" ht="13.5" customHeight="1" thickBot="1" x14ac:dyDescent="0.3">
      <c r="A31" s="127"/>
      <c r="B31" s="24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11"/>
      <c r="N31" s="12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</row>
    <row r="32" spans="1:32" ht="29.25" customHeight="1" thickBot="1" x14ac:dyDescent="0.3">
      <c r="A32" s="90" t="s">
        <v>9</v>
      </c>
      <c r="B32" s="91" t="s">
        <v>64</v>
      </c>
      <c r="C32" s="91" t="s">
        <v>12</v>
      </c>
      <c r="D32" s="91" t="s">
        <v>13</v>
      </c>
      <c r="E32" s="92" t="s">
        <v>14</v>
      </c>
      <c r="F32" s="93" t="str">
        <f t="shared" ref="F32:M32" si="5">"Qty: "&amp; F13</f>
        <v>Qty: 10</v>
      </c>
      <c r="G32" s="93" t="str">
        <f t="shared" si="5"/>
        <v>Qty: 25</v>
      </c>
      <c r="H32" s="93" t="str">
        <f t="shared" si="5"/>
        <v>Qty: 50</v>
      </c>
      <c r="I32" s="93" t="str">
        <f t="shared" si="5"/>
        <v>Qty: 75</v>
      </c>
      <c r="J32" s="93" t="str">
        <f t="shared" si="5"/>
        <v>Qty: 100</v>
      </c>
      <c r="K32" s="93" t="str">
        <f t="shared" si="5"/>
        <v>Qty: 250</v>
      </c>
      <c r="L32" s="93" t="str">
        <f t="shared" si="5"/>
        <v>Qty: 500</v>
      </c>
      <c r="M32" s="94" t="str">
        <f t="shared" si="5"/>
        <v>Qty: 1000</v>
      </c>
      <c r="N32" s="158" t="s">
        <v>59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</row>
    <row r="33" spans="1:32" x14ac:dyDescent="0.25">
      <c r="A33" s="30"/>
      <c r="B33" s="32"/>
      <c r="C33" s="33"/>
      <c r="D33" s="131"/>
      <c r="E33" s="132">
        <f t="shared" ref="E33:E44" si="6">C33*D33</f>
        <v>0</v>
      </c>
      <c r="F33" s="35">
        <f>IF($N33=TRUE,$E33/F$13,$E33*(1+(1/F$13)))</f>
        <v>0</v>
      </c>
      <c r="G33" s="35">
        <f t="shared" ref="G33:M44" si="7">IF($N33=TRUE,$E33/G$13,$E33*(1+(1/G$13)))</f>
        <v>0</v>
      </c>
      <c r="H33" s="35">
        <f t="shared" si="7"/>
        <v>0</v>
      </c>
      <c r="I33" s="35">
        <f t="shared" si="7"/>
        <v>0</v>
      </c>
      <c r="J33" s="35">
        <f t="shared" si="7"/>
        <v>0</v>
      </c>
      <c r="K33" s="35">
        <f t="shared" si="7"/>
        <v>0</v>
      </c>
      <c r="L33" s="35">
        <f t="shared" si="7"/>
        <v>0</v>
      </c>
      <c r="M33" s="35">
        <f t="shared" si="7"/>
        <v>0</v>
      </c>
      <c r="N33" s="159" t="b">
        <v>0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</row>
    <row r="34" spans="1:32" x14ac:dyDescent="0.25">
      <c r="A34" s="31"/>
      <c r="B34" s="32"/>
      <c r="C34" s="33"/>
      <c r="D34" s="131"/>
      <c r="E34" s="132">
        <f t="shared" si="6"/>
        <v>0</v>
      </c>
      <c r="F34" s="35">
        <f t="shared" ref="F34:F44" si="8">IF($N34=TRUE,$E34/F$13,$E34*(1+(1/F$13)))</f>
        <v>0</v>
      </c>
      <c r="G34" s="35">
        <f t="shared" si="7"/>
        <v>0</v>
      </c>
      <c r="H34" s="35">
        <f t="shared" si="7"/>
        <v>0</v>
      </c>
      <c r="I34" s="35">
        <f t="shared" si="7"/>
        <v>0</v>
      </c>
      <c r="J34" s="35">
        <f t="shared" si="7"/>
        <v>0</v>
      </c>
      <c r="K34" s="35">
        <f t="shared" si="7"/>
        <v>0</v>
      </c>
      <c r="L34" s="35">
        <f t="shared" si="7"/>
        <v>0</v>
      </c>
      <c r="M34" s="35">
        <f t="shared" si="7"/>
        <v>0</v>
      </c>
      <c r="N34" s="159" t="b">
        <v>0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</row>
    <row r="35" spans="1:32" ht="15.75" thickBot="1" x14ac:dyDescent="0.3">
      <c r="A35" s="31"/>
      <c r="B35" s="32"/>
      <c r="C35" s="33"/>
      <c r="D35" s="131"/>
      <c r="E35" s="132">
        <f t="shared" si="6"/>
        <v>0</v>
      </c>
      <c r="F35" s="35">
        <f t="shared" si="8"/>
        <v>0</v>
      </c>
      <c r="G35" s="35">
        <f t="shared" si="7"/>
        <v>0</v>
      </c>
      <c r="H35" s="35">
        <f t="shared" si="7"/>
        <v>0</v>
      </c>
      <c r="I35" s="35">
        <f t="shared" si="7"/>
        <v>0</v>
      </c>
      <c r="J35" s="35">
        <f t="shared" si="7"/>
        <v>0</v>
      </c>
      <c r="K35" s="35">
        <f t="shared" si="7"/>
        <v>0</v>
      </c>
      <c r="L35" s="35">
        <f t="shared" si="7"/>
        <v>0</v>
      </c>
      <c r="M35" s="35">
        <f t="shared" si="7"/>
        <v>0</v>
      </c>
      <c r="N35" s="160" t="b">
        <v>0</v>
      </c>
      <c r="O35" s="34"/>
      <c r="P35" s="34"/>
      <c r="Q35" s="34"/>
      <c r="R35" s="34"/>
      <c r="S35" s="34" t="s">
        <v>40</v>
      </c>
      <c r="T35" s="34" t="s">
        <v>8</v>
      </c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</row>
    <row r="36" spans="1:32" x14ac:dyDescent="0.25">
      <c r="A36" s="30"/>
      <c r="B36" s="32"/>
      <c r="C36" s="33"/>
      <c r="D36" s="131"/>
      <c r="E36" s="132">
        <f t="shared" si="6"/>
        <v>0</v>
      </c>
      <c r="F36" s="35">
        <f t="shared" si="8"/>
        <v>0</v>
      </c>
      <c r="G36" s="35">
        <f t="shared" si="7"/>
        <v>0</v>
      </c>
      <c r="H36" s="35">
        <f t="shared" si="7"/>
        <v>0</v>
      </c>
      <c r="I36" s="35">
        <f t="shared" si="7"/>
        <v>0</v>
      </c>
      <c r="J36" s="35">
        <f t="shared" si="7"/>
        <v>0</v>
      </c>
      <c r="K36" s="35">
        <f t="shared" si="7"/>
        <v>0</v>
      </c>
      <c r="L36" s="35">
        <f t="shared" si="7"/>
        <v>0</v>
      </c>
      <c r="M36" s="35">
        <f t="shared" si="7"/>
        <v>0</v>
      </c>
      <c r="N36" s="159" t="b">
        <v>0</v>
      </c>
      <c r="O36" s="34"/>
      <c r="P36" s="34"/>
      <c r="Q36" s="34"/>
      <c r="R36" s="34"/>
      <c r="S36" s="34">
        <f>M13</f>
        <v>1000</v>
      </c>
      <c r="T36" s="124">
        <f>M63</f>
        <v>0</v>
      </c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</row>
    <row r="37" spans="1:32" x14ac:dyDescent="0.25">
      <c r="A37" s="31"/>
      <c r="B37" s="32"/>
      <c r="C37" s="33"/>
      <c r="D37" s="131"/>
      <c r="E37" s="132">
        <f t="shared" si="6"/>
        <v>0</v>
      </c>
      <c r="F37" s="35">
        <f t="shared" si="8"/>
        <v>0</v>
      </c>
      <c r="G37" s="35">
        <f t="shared" si="7"/>
        <v>0</v>
      </c>
      <c r="H37" s="35">
        <f t="shared" si="7"/>
        <v>0</v>
      </c>
      <c r="I37" s="35">
        <f t="shared" si="7"/>
        <v>0</v>
      </c>
      <c r="J37" s="35">
        <f t="shared" si="7"/>
        <v>0</v>
      </c>
      <c r="K37" s="35">
        <f t="shared" si="7"/>
        <v>0</v>
      </c>
      <c r="L37" s="35">
        <f t="shared" si="7"/>
        <v>0</v>
      </c>
      <c r="M37" s="35">
        <f t="shared" si="7"/>
        <v>0</v>
      </c>
      <c r="N37" s="159" t="b">
        <v>0</v>
      </c>
      <c r="O37" s="34"/>
      <c r="P37" s="34"/>
      <c r="Q37" s="34"/>
      <c r="R37" s="34"/>
      <c r="S37" s="34">
        <f>L13</f>
        <v>500</v>
      </c>
      <c r="T37" s="124">
        <f>L63</f>
        <v>0</v>
      </c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</row>
    <row r="38" spans="1:32" ht="15.75" thickBot="1" x14ac:dyDescent="0.3">
      <c r="A38" s="31"/>
      <c r="B38" s="32"/>
      <c r="C38" s="33"/>
      <c r="D38" s="131"/>
      <c r="E38" s="132">
        <f t="shared" si="6"/>
        <v>0</v>
      </c>
      <c r="F38" s="35">
        <f t="shared" si="8"/>
        <v>0</v>
      </c>
      <c r="G38" s="35">
        <f t="shared" si="7"/>
        <v>0</v>
      </c>
      <c r="H38" s="35">
        <f t="shared" si="7"/>
        <v>0</v>
      </c>
      <c r="I38" s="35">
        <f t="shared" si="7"/>
        <v>0</v>
      </c>
      <c r="J38" s="35">
        <f t="shared" si="7"/>
        <v>0</v>
      </c>
      <c r="K38" s="35">
        <f t="shared" si="7"/>
        <v>0</v>
      </c>
      <c r="L38" s="35">
        <f t="shared" si="7"/>
        <v>0</v>
      </c>
      <c r="M38" s="35">
        <f t="shared" si="7"/>
        <v>0</v>
      </c>
      <c r="N38" s="160" t="b">
        <v>0</v>
      </c>
      <c r="O38" s="34"/>
      <c r="P38" s="34"/>
      <c r="Q38" s="34"/>
      <c r="R38" s="34"/>
      <c r="S38" s="34">
        <f>I13</f>
        <v>75</v>
      </c>
      <c r="T38" s="124">
        <f>I63</f>
        <v>0</v>
      </c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</row>
    <row r="39" spans="1:32" x14ac:dyDescent="0.25">
      <c r="A39" s="30"/>
      <c r="B39" s="32"/>
      <c r="C39" s="33"/>
      <c r="D39" s="131"/>
      <c r="E39" s="132">
        <f t="shared" si="6"/>
        <v>0</v>
      </c>
      <c r="F39" s="35">
        <f t="shared" si="8"/>
        <v>0</v>
      </c>
      <c r="G39" s="35">
        <f t="shared" si="7"/>
        <v>0</v>
      </c>
      <c r="H39" s="35">
        <f t="shared" si="7"/>
        <v>0</v>
      </c>
      <c r="I39" s="35">
        <f t="shared" si="7"/>
        <v>0</v>
      </c>
      <c r="J39" s="35">
        <f t="shared" si="7"/>
        <v>0</v>
      </c>
      <c r="K39" s="35">
        <f t="shared" si="7"/>
        <v>0</v>
      </c>
      <c r="L39" s="35">
        <f t="shared" si="7"/>
        <v>0</v>
      </c>
      <c r="M39" s="35">
        <f t="shared" si="7"/>
        <v>0</v>
      </c>
      <c r="N39" s="159" t="b">
        <v>0</v>
      </c>
      <c r="O39" s="34"/>
      <c r="P39" s="34"/>
      <c r="Q39" s="34"/>
      <c r="R39" s="34"/>
      <c r="S39" s="34">
        <f>H13</f>
        <v>50</v>
      </c>
      <c r="T39" s="124">
        <f>H63</f>
        <v>0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</row>
    <row r="40" spans="1:32" x14ac:dyDescent="0.25">
      <c r="A40" s="31"/>
      <c r="B40" s="32"/>
      <c r="C40" s="33"/>
      <c r="D40" s="131"/>
      <c r="E40" s="132">
        <f t="shared" si="6"/>
        <v>0</v>
      </c>
      <c r="F40" s="35">
        <f t="shared" si="8"/>
        <v>0</v>
      </c>
      <c r="G40" s="35">
        <f t="shared" si="7"/>
        <v>0</v>
      </c>
      <c r="H40" s="35">
        <f t="shared" si="7"/>
        <v>0</v>
      </c>
      <c r="I40" s="35">
        <f t="shared" si="7"/>
        <v>0</v>
      </c>
      <c r="J40" s="35">
        <f t="shared" si="7"/>
        <v>0</v>
      </c>
      <c r="K40" s="35">
        <f t="shared" si="7"/>
        <v>0</v>
      </c>
      <c r="L40" s="35">
        <f t="shared" si="7"/>
        <v>0</v>
      </c>
      <c r="M40" s="35">
        <f t="shared" si="7"/>
        <v>0</v>
      </c>
      <c r="N40" s="159" t="b">
        <v>0</v>
      </c>
      <c r="O40" s="34"/>
      <c r="P40" s="34"/>
      <c r="Q40" s="34"/>
      <c r="R40" s="34"/>
      <c r="S40" s="34">
        <f>G13</f>
        <v>25</v>
      </c>
      <c r="T40" s="124">
        <f>G63</f>
        <v>0</v>
      </c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</row>
    <row r="41" spans="1:32" ht="15.75" thickBot="1" x14ac:dyDescent="0.3">
      <c r="A41" s="31"/>
      <c r="B41" s="32"/>
      <c r="C41" s="33"/>
      <c r="D41" s="131"/>
      <c r="E41" s="132">
        <f t="shared" si="6"/>
        <v>0</v>
      </c>
      <c r="F41" s="35">
        <f t="shared" si="8"/>
        <v>0</v>
      </c>
      <c r="G41" s="35">
        <f t="shared" si="7"/>
        <v>0</v>
      </c>
      <c r="H41" s="35">
        <f t="shared" si="7"/>
        <v>0</v>
      </c>
      <c r="I41" s="35">
        <f t="shared" si="7"/>
        <v>0</v>
      </c>
      <c r="J41" s="35">
        <f t="shared" si="7"/>
        <v>0</v>
      </c>
      <c r="K41" s="35">
        <f t="shared" si="7"/>
        <v>0</v>
      </c>
      <c r="L41" s="35">
        <f t="shared" si="7"/>
        <v>0</v>
      </c>
      <c r="M41" s="35">
        <f t="shared" si="7"/>
        <v>0</v>
      </c>
      <c r="N41" s="160" t="b">
        <v>0</v>
      </c>
      <c r="O41" s="34"/>
      <c r="P41" s="34"/>
      <c r="Q41" s="34"/>
      <c r="R41" s="34"/>
      <c r="S41" s="34">
        <f>F13</f>
        <v>10</v>
      </c>
      <c r="T41" s="124">
        <f>F63</f>
        <v>0</v>
      </c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</row>
    <row r="42" spans="1:32" x14ac:dyDescent="0.25">
      <c r="A42" s="30"/>
      <c r="B42" s="32"/>
      <c r="C42" s="33"/>
      <c r="D42" s="131"/>
      <c r="E42" s="132">
        <f t="shared" si="6"/>
        <v>0</v>
      </c>
      <c r="F42" s="35">
        <f t="shared" si="8"/>
        <v>0</v>
      </c>
      <c r="G42" s="35">
        <f t="shared" si="7"/>
        <v>0</v>
      </c>
      <c r="H42" s="35">
        <f t="shared" si="7"/>
        <v>0</v>
      </c>
      <c r="I42" s="35">
        <f t="shared" si="7"/>
        <v>0</v>
      </c>
      <c r="J42" s="35">
        <f t="shared" si="7"/>
        <v>0</v>
      </c>
      <c r="K42" s="35">
        <f t="shared" si="7"/>
        <v>0</v>
      </c>
      <c r="L42" s="35">
        <f t="shared" si="7"/>
        <v>0</v>
      </c>
      <c r="M42" s="35">
        <f t="shared" si="7"/>
        <v>0</v>
      </c>
      <c r="N42" s="159" t="b">
        <v>0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</row>
    <row r="43" spans="1:32" x14ac:dyDescent="0.25">
      <c r="A43" s="31"/>
      <c r="B43" s="32"/>
      <c r="C43" s="33"/>
      <c r="D43" s="131"/>
      <c r="E43" s="132">
        <f t="shared" si="6"/>
        <v>0</v>
      </c>
      <c r="F43" s="35">
        <f t="shared" si="8"/>
        <v>0</v>
      </c>
      <c r="G43" s="35">
        <f t="shared" si="7"/>
        <v>0</v>
      </c>
      <c r="H43" s="35">
        <f t="shared" si="7"/>
        <v>0</v>
      </c>
      <c r="I43" s="35">
        <f t="shared" si="7"/>
        <v>0</v>
      </c>
      <c r="J43" s="35">
        <f t="shared" si="7"/>
        <v>0</v>
      </c>
      <c r="K43" s="35">
        <f t="shared" si="7"/>
        <v>0</v>
      </c>
      <c r="L43" s="35">
        <f t="shared" si="7"/>
        <v>0</v>
      </c>
      <c r="M43" s="35">
        <f t="shared" si="7"/>
        <v>0</v>
      </c>
      <c r="N43" s="159" t="b">
        <v>0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</row>
    <row r="44" spans="1:32" ht="15.75" thickBot="1" x14ac:dyDescent="0.3">
      <c r="A44" s="31"/>
      <c r="B44" s="32"/>
      <c r="C44" s="33"/>
      <c r="D44" s="131"/>
      <c r="E44" s="132">
        <f t="shared" si="6"/>
        <v>0</v>
      </c>
      <c r="F44" s="35">
        <f t="shared" si="8"/>
        <v>0</v>
      </c>
      <c r="G44" s="35">
        <f t="shared" si="7"/>
        <v>0</v>
      </c>
      <c r="H44" s="35">
        <f t="shared" si="7"/>
        <v>0</v>
      </c>
      <c r="I44" s="35">
        <f t="shared" si="7"/>
        <v>0</v>
      </c>
      <c r="J44" s="35">
        <f t="shared" si="7"/>
        <v>0</v>
      </c>
      <c r="K44" s="35">
        <f t="shared" si="7"/>
        <v>0</v>
      </c>
      <c r="L44" s="35">
        <f t="shared" si="7"/>
        <v>0</v>
      </c>
      <c r="M44" s="35">
        <f t="shared" si="7"/>
        <v>0</v>
      </c>
      <c r="N44" s="160" t="b">
        <v>0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</row>
    <row r="45" spans="1:32" ht="15.75" thickBot="1" x14ac:dyDescent="0.3">
      <c r="A45" s="95" t="s">
        <v>53</v>
      </c>
      <c r="B45" s="96"/>
      <c r="C45" s="97"/>
      <c r="D45" s="97" t="s">
        <v>31</v>
      </c>
      <c r="E45" s="98" t="s">
        <v>32</v>
      </c>
      <c r="F45" s="99"/>
      <c r="G45" s="100"/>
      <c r="H45" s="100"/>
      <c r="I45" s="100"/>
      <c r="J45" s="100"/>
      <c r="K45" s="100"/>
      <c r="L45" s="100"/>
      <c r="M45" s="100"/>
      <c r="N45" s="101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</row>
    <row r="46" spans="1:32" x14ac:dyDescent="0.25">
      <c r="A46" s="31"/>
      <c r="B46" s="32"/>
      <c r="C46" s="33"/>
      <c r="D46" s="134"/>
      <c r="E46" s="133"/>
      <c r="F46" s="35">
        <f>($D46/F$13)+$E46</f>
        <v>0</v>
      </c>
      <c r="G46" s="35">
        <f t="shared" ref="G46:M50" si="9">($D46/G$13)+$E46</f>
        <v>0</v>
      </c>
      <c r="H46" s="35">
        <f t="shared" si="9"/>
        <v>0</v>
      </c>
      <c r="I46" s="35">
        <f>($D46/I$13)+$E46</f>
        <v>0</v>
      </c>
      <c r="J46" s="35">
        <f t="shared" ref="J46:K50" si="10">($D46/J$13)+$E46</f>
        <v>0</v>
      </c>
      <c r="K46" s="35">
        <f>($D46/K$13)+$E46</f>
        <v>0</v>
      </c>
      <c r="L46" s="35">
        <f>($D46/L$13)+$E46</f>
        <v>0</v>
      </c>
      <c r="M46" s="35">
        <f>($D46/M$13)+$E46</f>
        <v>0</v>
      </c>
      <c r="N46" s="35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</row>
    <row r="47" spans="1:32" x14ac:dyDescent="0.25">
      <c r="A47" s="31"/>
      <c r="B47" s="32"/>
      <c r="C47" s="33"/>
      <c r="D47" s="134"/>
      <c r="E47" s="133"/>
      <c r="F47" s="35">
        <f>($D47/F$13)+$E47</f>
        <v>0</v>
      </c>
      <c r="G47" s="35">
        <f t="shared" si="9"/>
        <v>0</v>
      </c>
      <c r="H47" s="35">
        <f t="shared" si="9"/>
        <v>0</v>
      </c>
      <c r="I47" s="35">
        <f t="shared" si="9"/>
        <v>0</v>
      </c>
      <c r="J47" s="35">
        <f t="shared" si="10"/>
        <v>0</v>
      </c>
      <c r="K47" s="35">
        <f t="shared" si="10"/>
        <v>0</v>
      </c>
      <c r="L47" s="35">
        <f t="shared" si="9"/>
        <v>0</v>
      </c>
      <c r="M47" s="35">
        <f t="shared" si="9"/>
        <v>0</v>
      </c>
      <c r="N47" s="35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</row>
    <row r="48" spans="1:32" x14ac:dyDescent="0.25">
      <c r="A48" s="31"/>
      <c r="B48" s="32"/>
      <c r="C48" s="33"/>
      <c r="D48" s="134"/>
      <c r="E48" s="133"/>
      <c r="F48" s="35">
        <f t="shared" ref="F48:F50" si="11">($D48/F$13)+$E48</f>
        <v>0</v>
      </c>
      <c r="G48" s="35">
        <f t="shared" si="9"/>
        <v>0</v>
      </c>
      <c r="H48" s="35">
        <f t="shared" si="9"/>
        <v>0</v>
      </c>
      <c r="I48" s="35">
        <f t="shared" si="9"/>
        <v>0</v>
      </c>
      <c r="J48" s="35">
        <f t="shared" si="10"/>
        <v>0</v>
      </c>
      <c r="K48" s="35">
        <f t="shared" si="10"/>
        <v>0</v>
      </c>
      <c r="L48" s="35">
        <f t="shared" si="9"/>
        <v>0</v>
      </c>
      <c r="M48" s="35">
        <f t="shared" si="9"/>
        <v>0</v>
      </c>
      <c r="N48" s="35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</row>
    <row r="49" spans="1:32" x14ac:dyDescent="0.25">
      <c r="A49" s="31"/>
      <c r="B49" s="32"/>
      <c r="C49" s="33"/>
      <c r="D49" s="134"/>
      <c r="E49" s="133"/>
      <c r="F49" s="35">
        <f t="shared" si="11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10"/>
        <v>0</v>
      </c>
      <c r="K49" s="35">
        <f t="shared" si="10"/>
        <v>0</v>
      </c>
      <c r="L49" s="35">
        <f t="shared" si="9"/>
        <v>0</v>
      </c>
      <c r="M49" s="35">
        <f t="shared" si="9"/>
        <v>0</v>
      </c>
      <c r="N49" s="35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</row>
    <row r="50" spans="1:32" ht="15.75" thickBot="1" x14ac:dyDescent="0.3">
      <c r="A50" s="41"/>
      <c r="B50" s="42"/>
      <c r="C50" s="43"/>
      <c r="D50" s="135"/>
      <c r="E50" s="136"/>
      <c r="F50" s="35">
        <f t="shared" si="11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10"/>
        <v>0</v>
      </c>
      <c r="K50" s="35">
        <f t="shared" si="10"/>
        <v>0</v>
      </c>
      <c r="L50" s="35">
        <f t="shared" si="9"/>
        <v>0</v>
      </c>
      <c r="M50" s="35">
        <f t="shared" si="9"/>
        <v>0</v>
      </c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</row>
    <row r="51" spans="1:32" x14ac:dyDescent="0.25">
      <c r="A51" s="2"/>
      <c r="B51" s="195" t="s">
        <v>15</v>
      </c>
      <c r="C51" s="195"/>
      <c r="D51" s="195"/>
      <c r="E51" s="196"/>
      <c r="F51" s="63">
        <f>SUM(F33:F44)</f>
        <v>0</v>
      </c>
      <c r="G51" s="63">
        <f t="shared" ref="G51:M51" si="12">SUM(G33:G44)</f>
        <v>0</v>
      </c>
      <c r="H51" s="63">
        <f t="shared" si="12"/>
        <v>0</v>
      </c>
      <c r="I51" s="63">
        <f t="shared" si="12"/>
        <v>0</v>
      </c>
      <c r="J51" s="63">
        <f t="shared" ref="J51" si="13">SUM(J33:J44)</f>
        <v>0</v>
      </c>
      <c r="K51" s="63">
        <f t="shared" ref="K51" si="14">SUM(K33:K44)</f>
        <v>0</v>
      </c>
      <c r="L51" s="63">
        <f t="shared" si="12"/>
        <v>0</v>
      </c>
      <c r="M51" s="63">
        <f t="shared" si="12"/>
        <v>0</v>
      </c>
      <c r="N51" s="64">
        <f>IF(N13=0,0,SUM(N42:N44))</f>
        <v>0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</row>
    <row r="52" spans="1:32" x14ac:dyDescent="0.25">
      <c r="A52" s="3"/>
      <c r="B52" s="197" t="s">
        <v>16</v>
      </c>
      <c r="C52" s="197"/>
      <c r="D52" s="197"/>
      <c r="E52" s="198"/>
      <c r="F52" s="15">
        <f>SUM(F46:F50)</f>
        <v>0</v>
      </c>
      <c r="G52" s="15">
        <f t="shared" ref="G52:M52" si="15">SUM(G46:G50)</f>
        <v>0</v>
      </c>
      <c r="H52" s="15">
        <f t="shared" si="15"/>
        <v>0</v>
      </c>
      <c r="I52" s="15">
        <f t="shared" si="15"/>
        <v>0</v>
      </c>
      <c r="J52" s="15">
        <f t="shared" si="15"/>
        <v>0</v>
      </c>
      <c r="K52" s="15">
        <f t="shared" si="15"/>
        <v>0</v>
      </c>
      <c r="L52" s="15">
        <f t="shared" si="15"/>
        <v>0</v>
      </c>
      <c r="M52" s="15">
        <f t="shared" si="15"/>
        <v>0</v>
      </c>
      <c r="N52" s="65">
        <f>IF(N13=0,0,SUM(N46:N50))</f>
        <v>0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</row>
    <row r="53" spans="1:32" ht="15.75" thickBot="1" x14ac:dyDescent="0.3">
      <c r="A53" s="4"/>
      <c r="B53" s="199" t="s">
        <v>17</v>
      </c>
      <c r="C53" s="199"/>
      <c r="D53" s="199"/>
      <c r="E53" s="200"/>
      <c r="F53" s="66">
        <f>SUM(F30+F51+F52)</f>
        <v>0</v>
      </c>
      <c r="G53" s="66">
        <f t="shared" ref="G53:M53" si="16">SUM(G30+G51+G52)</f>
        <v>0</v>
      </c>
      <c r="H53" s="66">
        <f t="shared" si="16"/>
        <v>0</v>
      </c>
      <c r="I53" s="66">
        <f t="shared" si="16"/>
        <v>0</v>
      </c>
      <c r="J53" s="66">
        <f t="shared" si="16"/>
        <v>0</v>
      </c>
      <c r="K53" s="66">
        <f t="shared" si="16"/>
        <v>0</v>
      </c>
      <c r="L53" s="66">
        <f t="shared" si="16"/>
        <v>0</v>
      </c>
      <c r="M53" s="66">
        <f t="shared" si="16"/>
        <v>0</v>
      </c>
      <c r="N53" s="66">
        <f>IF(N13=0,0,SUM(N30+N51+N52))</f>
        <v>0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</row>
    <row r="54" spans="1:32" ht="15.75" thickBot="1" x14ac:dyDescent="0.3">
      <c r="A54" s="119"/>
      <c r="B54" s="98"/>
      <c r="C54" s="98"/>
      <c r="D54" s="98"/>
      <c r="E54" s="98"/>
      <c r="F54" s="120"/>
      <c r="G54" s="120"/>
      <c r="H54" s="120"/>
      <c r="I54" s="120"/>
      <c r="J54" s="120"/>
      <c r="K54" s="120"/>
      <c r="L54" s="120"/>
      <c r="M54" s="120"/>
      <c r="N54" s="120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</row>
    <row r="55" spans="1:32" ht="12" hidden="1" customHeight="1" thickBot="1" x14ac:dyDescent="0.3">
      <c r="A55" s="2"/>
      <c r="B55" s="67"/>
      <c r="C55" s="67"/>
      <c r="D55" s="67"/>
      <c r="E55" s="86" t="s">
        <v>44</v>
      </c>
      <c r="F55" s="87" t="e">
        <f>SUM(F53+#REF!+#REF!)</f>
        <v>#REF!</v>
      </c>
      <c r="G55" s="88" t="e">
        <f>SUM(G53+#REF!+#REF!)</f>
        <v>#REF!</v>
      </c>
      <c r="H55" s="88" t="e">
        <f>SUM(H53+#REF!+#REF!)</f>
        <v>#REF!</v>
      </c>
      <c r="I55" s="88" t="e">
        <f>SUM(I53+#REF!+#REF!)</f>
        <v>#REF!</v>
      </c>
      <c r="J55" s="88" t="e">
        <f>SUM(J53+#REF!+#REF!)</f>
        <v>#REF!</v>
      </c>
      <c r="K55" s="88" t="e">
        <f>SUM(K53+#REF!+#REF!)</f>
        <v>#REF!</v>
      </c>
      <c r="L55" s="88" t="e">
        <f>SUM(L53+#REF!+#REF!)</f>
        <v>#REF!</v>
      </c>
      <c r="M55" s="88" t="e">
        <f>SUM(M53+#REF!+#REF!)</f>
        <v>#REF!</v>
      </c>
      <c r="N55" s="89" t="e">
        <f>SUM(N53+#REF!+#REF!)</f>
        <v>#REF!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</row>
    <row r="56" spans="1:32" ht="15.75" hidden="1" thickBot="1" x14ac:dyDescent="0.3">
      <c r="A56" s="3"/>
      <c r="D56" s="201" t="s">
        <v>21</v>
      </c>
      <c r="E56" s="202"/>
      <c r="F56" s="73" t="e">
        <f t="shared" ref="F56:M56" si="17">(F55-F53)/F55</f>
        <v>#REF!</v>
      </c>
      <c r="G56" s="74" t="e">
        <f t="shared" si="17"/>
        <v>#REF!</v>
      </c>
      <c r="H56" s="74" t="e">
        <f t="shared" si="17"/>
        <v>#REF!</v>
      </c>
      <c r="I56" s="74" t="e">
        <f t="shared" si="17"/>
        <v>#REF!</v>
      </c>
      <c r="J56" s="74" t="e">
        <f t="shared" si="17"/>
        <v>#REF!</v>
      </c>
      <c r="K56" s="74" t="e">
        <f t="shared" si="17"/>
        <v>#REF!</v>
      </c>
      <c r="L56" s="74" t="e">
        <f t="shared" si="17"/>
        <v>#REF!</v>
      </c>
      <c r="M56" s="74" t="e">
        <f t="shared" si="17"/>
        <v>#REF!</v>
      </c>
      <c r="N56" s="75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</row>
    <row r="57" spans="1:32" x14ac:dyDescent="0.25">
      <c r="A57" s="3"/>
      <c r="B57" s="29"/>
      <c r="D57" s="201" t="s">
        <v>33</v>
      </c>
      <c r="E57" s="202"/>
      <c r="F57" s="76">
        <f>F30</f>
        <v>0</v>
      </c>
      <c r="G57" s="76">
        <f t="shared" ref="G57:M57" si="18">G30</f>
        <v>0</v>
      </c>
      <c r="H57" s="76">
        <f t="shared" si="18"/>
        <v>0</v>
      </c>
      <c r="I57" s="76">
        <f t="shared" si="18"/>
        <v>0</v>
      </c>
      <c r="J57" s="76">
        <f t="shared" si="18"/>
        <v>0</v>
      </c>
      <c r="K57" s="76">
        <f t="shared" si="18"/>
        <v>0</v>
      </c>
      <c r="L57" s="76">
        <f t="shared" si="18"/>
        <v>0</v>
      </c>
      <c r="M57" s="76">
        <f t="shared" si="18"/>
        <v>0</v>
      </c>
      <c r="N57" s="63">
        <f>SUM((N30))</f>
        <v>0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</row>
    <row r="58" spans="1:32" x14ac:dyDescent="0.25">
      <c r="A58" s="3"/>
      <c r="B58" s="29"/>
      <c r="C58" s="201" t="s">
        <v>34</v>
      </c>
      <c r="D58" s="201"/>
      <c r="E58" s="202"/>
      <c r="F58" s="14">
        <f>F51</f>
        <v>0</v>
      </c>
      <c r="G58" s="14">
        <f t="shared" ref="G58:M59" si="19">G51</f>
        <v>0</v>
      </c>
      <c r="H58" s="14">
        <f t="shared" si="19"/>
        <v>0</v>
      </c>
      <c r="I58" s="14">
        <f t="shared" si="19"/>
        <v>0</v>
      </c>
      <c r="J58" s="14">
        <f t="shared" si="19"/>
        <v>0</v>
      </c>
      <c r="K58" s="14">
        <f t="shared" si="19"/>
        <v>0</v>
      </c>
      <c r="L58" s="14">
        <f t="shared" si="19"/>
        <v>0</v>
      </c>
      <c r="M58" s="14">
        <f t="shared" si="19"/>
        <v>0</v>
      </c>
      <c r="N58" s="15">
        <f>(N51)</f>
        <v>0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</row>
    <row r="59" spans="1:32" x14ac:dyDescent="0.25">
      <c r="A59" s="3"/>
      <c r="B59" s="29"/>
      <c r="D59" s="201" t="s">
        <v>35</v>
      </c>
      <c r="E59" s="202"/>
      <c r="F59" s="14">
        <f t="shared" ref="F59:L59" si="20">F52</f>
        <v>0</v>
      </c>
      <c r="G59" s="14">
        <f t="shared" si="20"/>
        <v>0</v>
      </c>
      <c r="H59" s="14">
        <f t="shared" si="20"/>
        <v>0</v>
      </c>
      <c r="I59" s="14">
        <f t="shared" si="20"/>
        <v>0</v>
      </c>
      <c r="J59" s="14">
        <f t="shared" si="19"/>
        <v>0</v>
      </c>
      <c r="K59" s="14">
        <f t="shared" si="19"/>
        <v>0</v>
      </c>
      <c r="L59" s="14">
        <f t="shared" si="20"/>
        <v>0</v>
      </c>
      <c r="M59" s="14">
        <f>M52</f>
        <v>0</v>
      </c>
      <c r="N59" s="15">
        <f>N52</f>
        <v>0</v>
      </c>
      <c r="O59" s="34"/>
      <c r="P59" s="12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</row>
    <row r="60" spans="1:32" x14ac:dyDescent="0.25">
      <c r="A60" s="3"/>
      <c r="D60" s="207" t="s">
        <v>41</v>
      </c>
      <c r="E60" s="208"/>
      <c r="F60" s="62">
        <f>SUM(F57:F59)</f>
        <v>0</v>
      </c>
      <c r="G60" s="77">
        <f t="shared" ref="G60:N60" si="21">SUM(G57:G59)</f>
        <v>0</v>
      </c>
      <c r="H60" s="62">
        <f t="shared" si="21"/>
        <v>0</v>
      </c>
      <c r="I60" s="62">
        <f t="shared" si="21"/>
        <v>0</v>
      </c>
      <c r="J60" s="62">
        <f t="shared" si="21"/>
        <v>0</v>
      </c>
      <c r="K60" s="62">
        <f t="shared" si="21"/>
        <v>0</v>
      </c>
      <c r="L60" s="62">
        <f t="shared" si="21"/>
        <v>0</v>
      </c>
      <c r="M60" s="62">
        <f t="shared" si="21"/>
        <v>0</v>
      </c>
      <c r="N60" s="77">
        <f t="shared" si="21"/>
        <v>0</v>
      </c>
      <c r="O60" s="125"/>
      <c r="P60" s="12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</row>
    <row r="61" spans="1:32" x14ac:dyDescent="0.25">
      <c r="A61" s="3"/>
      <c r="B61" s="81"/>
      <c r="D61" s="201" t="s">
        <v>39</v>
      </c>
      <c r="E61" s="202"/>
      <c r="F61" s="82">
        <f t="shared" ref="F61:M61" si="22">$N$60/F13</f>
        <v>0</v>
      </c>
      <c r="G61" s="77">
        <f t="shared" si="22"/>
        <v>0</v>
      </c>
      <c r="H61" s="62">
        <f t="shared" si="22"/>
        <v>0</v>
      </c>
      <c r="I61" s="77">
        <f t="shared" si="22"/>
        <v>0</v>
      </c>
      <c r="J61" s="77">
        <f t="shared" si="22"/>
        <v>0</v>
      </c>
      <c r="K61" s="77">
        <f t="shared" si="22"/>
        <v>0</v>
      </c>
      <c r="L61" s="77">
        <f t="shared" si="22"/>
        <v>0</v>
      </c>
      <c r="M61" s="77">
        <f t="shared" si="22"/>
        <v>0</v>
      </c>
      <c r="N61" s="77"/>
      <c r="O61" s="125"/>
      <c r="P61" s="12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</row>
    <row r="62" spans="1:32" ht="15.75" thickBot="1" x14ac:dyDescent="0.3">
      <c r="A62" s="4"/>
      <c r="B62" s="1"/>
      <c r="C62" s="1"/>
      <c r="D62" s="233" t="s">
        <v>43</v>
      </c>
      <c r="E62" s="234"/>
      <c r="F62" s="84">
        <v>0</v>
      </c>
      <c r="G62" s="85">
        <v>0</v>
      </c>
      <c r="H62" s="84">
        <v>0</v>
      </c>
      <c r="I62" s="84">
        <v>0</v>
      </c>
      <c r="J62" s="84">
        <v>0</v>
      </c>
      <c r="K62" s="84">
        <v>0</v>
      </c>
      <c r="L62" s="84">
        <v>0</v>
      </c>
      <c r="M62" s="84">
        <v>0</v>
      </c>
      <c r="N62" s="83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</row>
    <row r="63" spans="1:32" ht="15.75" thickBot="1" x14ac:dyDescent="0.3">
      <c r="D63" s="235">
        <f>B3</f>
        <v>12</v>
      </c>
      <c r="E63" s="206"/>
      <c r="F63" s="80">
        <f>SUM(F60:F62)</f>
        <v>0</v>
      </c>
      <c r="G63" s="80">
        <f t="shared" ref="G63:M63" si="23">SUM(G60:G62)</f>
        <v>0</v>
      </c>
      <c r="H63" s="80">
        <f t="shared" si="23"/>
        <v>0</v>
      </c>
      <c r="I63" s="80">
        <f t="shared" si="23"/>
        <v>0</v>
      </c>
      <c r="J63" s="80">
        <f t="shared" si="23"/>
        <v>0</v>
      </c>
      <c r="K63" s="80">
        <f t="shared" si="23"/>
        <v>0</v>
      </c>
      <c r="L63" s="80">
        <f t="shared" si="23"/>
        <v>0</v>
      </c>
      <c r="M63" s="80">
        <f t="shared" si="23"/>
        <v>0</v>
      </c>
      <c r="N63" s="78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</row>
    <row r="64" spans="1:32" x14ac:dyDescent="0.25">
      <c r="N64" s="28"/>
    </row>
    <row r="65" spans="1:14" ht="15.75" thickBot="1" x14ac:dyDescent="0.3"/>
    <row r="66" spans="1:14" ht="15.75" thickBot="1" x14ac:dyDescent="0.3">
      <c r="A66" s="5" t="s">
        <v>45</v>
      </c>
      <c r="B66" s="6"/>
      <c r="F66" s="28"/>
      <c r="G66" s="28"/>
      <c r="H66" s="28"/>
      <c r="I66" s="28"/>
      <c r="J66" s="28"/>
      <c r="K66" s="28"/>
      <c r="L66" s="28"/>
      <c r="M66" s="28"/>
    </row>
    <row r="67" spans="1:14" ht="15.75" thickBot="1" x14ac:dyDescent="0.3">
      <c r="A67" s="5" t="s">
        <v>46</v>
      </c>
      <c r="B67" s="6"/>
      <c r="F67" s="28"/>
      <c r="G67" s="28"/>
      <c r="H67" s="28"/>
      <c r="I67" s="28"/>
      <c r="J67" s="28"/>
      <c r="K67" s="28"/>
      <c r="L67" s="28"/>
      <c r="M67" s="28"/>
    </row>
    <row r="68" spans="1:14" ht="15.75" thickBot="1" x14ac:dyDescent="0.3">
      <c r="A68" s="5" t="s">
        <v>47</v>
      </c>
      <c r="B68" s="6"/>
      <c r="F68" s="28"/>
      <c r="G68" s="28"/>
      <c r="H68" s="28"/>
      <c r="I68" s="28"/>
      <c r="J68" s="28"/>
      <c r="K68" s="28"/>
      <c r="L68" s="28"/>
      <c r="M68" s="28"/>
    </row>
    <row r="69" spans="1:14" ht="15.75" thickBot="1" x14ac:dyDescent="0.3">
      <c r="A69" s="5" t="s">
        <v>48</v>
      </c>
      <c r="B69" s="6"/>
    </row>
    <row r="70" spans="1:14" ht="15.75" customHeight="1" x14ac:dyDescent="0.25"/>
    <row r="71" spans="1:14" hidden="1" x14ac:dyDescent="0.25"/>
    <row r="72" spans="1:14" ht="14.25" customHeight="1" x14ac:dyDescent="0.3">
      <c r="A72" s="106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25">
      <c r="A73" s="107"/>
      <c r="B73" s="236"/>
      <c r="C73" s="237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  <row r="74" spans="1:14" x14ac:dyDescent="0.25">
      <c r="A74" s="107"/>
      <c r="B74" s="59"/>
      <c r="C74" s="60"/>
      <c r="D74" s="58"/>
      <c r="E74" s="59"/>
      <c r="F74" s="60"/>
      <c r="G74" s="38"/>
      <c r="H74" s="38"/>
      <c r="I74" s="38"/>
      <c r="J74" s="38"/>
      <c r="K74" s="38"/>
      <c r="L74" s="38"/>
      <c r="M74" s="38"/>
      <c r="N74" s="38"/>
    </row>
    <row r="75" spans="1:14" x14ac:dyDescent="0.25">
      <c r="A75" s="107"/>
      <c r="B75" s="59"/>
      <c r="C75" s="60"/>
      <c r="D75" s="58"/>
      <c r="E75" s="59"/>
      <c r="F75" s="60"/>
      <c r="G75" s="38"/>
      <c r="H75" s="38"/>
      <c r="I75" s="38"/>
      <c r="J75" s="38"/>
      <c r="K75" s="38"/>
      <c r="L75" s="38"/>
      <c r="M75" s="38"/>
      <c r="N75" s="38"/>
    </row>
    <row r="76" spans="1:14" x14ac:dyDescent="0.25">
      <c r="A76" s="107"/>
      <c r="B76" s="59"/>
      <c r="C76" s="60"/>
      <c r="D76" s="58"/>
      <c r="E76" s="59"/>
      <c r="F76" s="60"/>
      <c r="G76" s="38"/>
      <c r="H76" s="38"/>
      <c r="I76" s="38"/>
      <c r="J76" s="38"/>
      <c r="K76" s="38"/>
      <c r="L76" s="38"/>
      <c r="M76" s="38"/>
      <c r="N76" s="38"/>
    </row>
    <row r="77" spans="1:14" x14ac:dyDescent="0.25">
      <c r="A77" s="107"/>
      <c r="B77" s="59"/>
      <c r="C77" s="60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</row>
    <row r="78" spans="1:14" x14ac:dyDescent="0.25">
      <c r="A78" s="107"/>
      <c r="B78" s="61"/>
      <c r="C78" s="60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</row>
    <row r="79" spans="1:14" x14ac:dyDescent="0.25">
      <c r="A79" s="107"/>
      <c r="B79" s="59"/>
      <c r="C79" s="60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</row>
    <row r="80" spans="1:14" x14ac:dyDescent="0.25">
      <c r="A80" s="10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</row>
    <row r="81" spans="1:14" x14ac:dyDescent="0.25">
      <c r="A81" s="10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  <row r="82" spans="1:14" x14ac:dyDescent="0.25">
      <c r="A82" s="109"/>
      <c r="B82" s="9"/>
      <c r="C82" s="9"/>
      <c r="D82" s="9"/>
      <c r="E82" s="9"/>
      <c r="F82" s="109"/>
      <c r="G82" s="9"/>
      <c r="H82" s="9"/>
      <c r="I82" s="9"/>
      <c r="J82" s="9"/>
      <c r="K82" s="9"/>
      <c r="L82" s="9"/>
      <c r="M82" s="9"/>
      <c r="N82" s="9"/>
    </row>
    <row r="83" spans="1:14" x14ac:dyDescent="0.25">
      <c r="A83" s="9"/>
      <c r="B83" s="9"/>
      <c r="C83" s="9"/>
      <c r="D83" s="9"/>
      <c r="E83" s="9"/>
      <c r="F83" s="110"/>
      <c r="G83" s="48"/>
      <c r="H83" s="48"/>
      <c r="I83" s="48"/>
      <c r="J83" s="48"/>
      <c r="K83" s="48"/>
      <c r="L83" s="48"/>
      <c r="M83" s="48"/>
      <c r="N83" s="48"/>
    </row>
    <row r="84" spans="1:14" x14ac:dyDescent="0.25">
      <c r="A84" s="9"/>
      <c r="B84" s="111"/>
      <c r="C84" s="111"/>
      <c r="D84" s="111"/>
      <c r="E84" s="111"/>
      <c r="F84" s="9"/>
      <c r="G84" s="9"/>
      <c r="H84" s="9"/>
      <c r="I84" s="9"/>
      <c r="J84" s="9"/>
      <c r="K84" s="9"/>
      <c r="L84" s="9"/>
      <c r="M84" s="9"/>
      <c r="N84" s="9"/>
    </row>
    <row r="85" spans="1:14" x14ac:dyDescent="0.25">
      <c r="A85" s="38"/>
      <c r="B85" s="38"/>
      <c r="C85" s="38"/>
      <c r="D85" s="38"/>
      <c r="E85" s="20"/>
      <c r="F85" s="20"/>
      <c r="G85" s="20"/>
      <c r="H85" s="20"/>
      <c r="I85" s="20"/>
      <c r="J85" s="20"/>
      <c r="K85" s="20"/>
      <c r="L85" s="20"/>
      <c r="M85" s="20"/>
      <c r="N85" s="20"/>
    </row>
    <row r="86" spans="1:14" x14ac:dyDescent="0.25">
      <c r="A86" s="38"/>
      <c r="B86" s="38"/>
      <c r="C86" s="38"/>
      <c r="D86" s="38"/>
      <c r="E86" s="20"/>
      <c r="F86" s="20"/>
      <c r="G86" s="20"/>
      <c r="H86" s="20"/>
      <c r="I86" s="20"/>
      <c r="J86" s="20"/>
      <c r="K86" s="20"/>
      <c r="L86" s="20"/>
      <c r="M86" s="20"/>
      <c r="N86" s="20"/>
    </row>
    <row r="87" spans="1:14" x14ac:dyDescent="0.25">
      <c r="A87" s="38"/>
      <c r="B87" s="38"/>
      <c r="C87" s="38"/>
      <c r="D87" s="38"/>
      <c r="E87" s="20"/>
      <c r="F87" s="20"/>
      <c r="G87" s="20"/>
      <c r="H87" s="20"/>
      <c r="I87" s="20"/>
      <c r="J87" s="20"/>
      <c r="K87" s="20"/>
      <c r="L87" s="20"/>
      <c r="M87" s="20"/>
      <c r="N87" s="20"/>
    </row>
    <row r="88" spans="1:14" x14ac:dyDescent="0.25">
      <c r="A88" s="38"/>
      <c r="B88" s="38"/>
      <c r="C88" s="38"/>
      <c r="D88" s="38"/>
      <c r="E88" s="20"/>
      <c r="F88" s="20"/>
      <c r="G88" s="20"/>
      <c r="H88" s="20"/>
      <c r="I88" s="20"/>
      <c r="J88" s="20"/>
      <c r="K88" s="20"/>
      <c r="L88" s="20"/>
      <c r="M88" s="20"/>
      <c r="N88" s="20"/>
    </row>
    <row r="89" spans="1:14" x14ac:dyDescent="0.25">
      <c r="A89" s="38"/>
      <c r="B89" s="38"/>
      <c r="C89" s="38"/>
      <c r="D89" s="38"/>
      <c r="E89" s="20"/>
      <c r="F89" s="20"/>
      <c r="G89" s="20"/>
      <c r="H89" s="20"/>
      <c r="I89" s="20"/>
      <c r="J89" s="20"/>
      <c r="K89" s="20"/>
      <c r="L89" s="20"/>
      <c r="M89" s="20"/>
      <c r="N89" s="20"/>
    </row>
    <row r="90" spans="1:14" x14ac:dyDescent="0.25">
      <c r="A90" s="38"/>
      <c r="B90" s="38"/>
      <c r="C90" s="38"/>
      <c r="D90" s="38"/>
      <c r="E90" s="20"/>
      <c r="F90" s="20"/>
      <c r="G90" s="20"/>
      <c r="H90" s="20"/>
      <c r="I90" s="20"/>
      <c r="J90" s="20"/>
      <c r="K90" s="20"/>
      <c r="L90" s="20"/>
      <c r="M90" s="20"/>
      <c r="N90" s="20"/>
    </row>
    <row r="91" spans="1:14" x14ac:dyDescent="0.25">
      <c r="A91" s="38"/>
      <c r="B91" s="38"/>
      <c r="C91" s="38"/>
      <c r="D91" s="38"/>
      <c r="E91" s="20"/>
      <c r="F91" s="20"/>
      <c r="G91" s="20"/>
      <c r="H91" s="20"/>
      <c r="I91" s="20"/>
      <c r="J91" s="20"/>
      <c r="K91" s="20"/>
      <c r="L91" s="20"/>
      <c r="M91" s="20"/>
      <c r="N91" s="20"/>
    </row>
    <row r="92" spans="1:14" x14ac:dyDescent="0.25">
      <c r="A92" s="38"/>
      <c r="B92" s="38"/>
      <c r="C92" s="38"/>
      <c r="D92" s="38"/>
      <c r="E92" s="20"/>
      <c r="F92" s="20"/>
      <c r="G92" s="20"/>
      <c r="H92" s="20"/>
      <c r="I92" s="20"/>
      <c r="J92" s="20"/>
      <c r="K92" s="20"/>
      <c r="L92" s="20"/>
      <c r="M92" s="20"/>
      <c r="N92" s="20"/>
    </row>
    <row r="93" spans="1:14" x14ac:dyDescent="0.25">
      <c r="A93" s="38"/>
      <c r="B93" s="38"/>
      <c r="C93" s="38"/>
      <c r="D93" s="38"/>
      <c r="E93" s="20"/>
      <c r="F93" s="20"/>
      <c r="G93" s="20"/>
      <c r="H93" s="20"/>
      <c r="I93" s="20"/>
      <c r="J93" s="20"/>
      <c r="K93" s="20"/>
      <c r="L93" s="20"/>
      <c r="M93" s="20"/>
      <c r="N93" s="20"/>
    </row>
    <row r="94" spans="1:14" x14ac:dyDescent="0.25">
      <c r="A94" s="38"/>
      <c r="B94" s="38"/>
      <c r="C94" s="38"/>
      <c r="D94" s="38"/>
      <c r="E94" s="20"/>
      <c r="F94" s="20"/>
      <c r="G94" s="20"/>
      <c r="H94" s="20"/>
      <c r="I94" s="20"/>
      <c r="J94" s="20"/>
      <c r="K94" s="20"/>
      <c r="L94" s="20"/>
      <c r="M94" s="20"/>
      <c r="N94" s="20"/>
    </row>
    <row r="95" spans="1:14" x14ac:dyDescent="0.25">
      <c r="A95" s="38"/>
      <c r="B95" s="38"/>
      <c r="C95" s="38"/>
      <c r="D95" s="38"/>
      <c r="E95" s="20"/>
      <c r="F95" s="20"/>
      <c r="G95" s="20"/>
      <c r="H95" s="20"/>
      <c r="I95" s="20"/>
      <c r="J95" s="20"/>
      <c r="K95" s="20"/>
      <c r="L95" s="20"/>
      <c r="M95" s="20"/>
      <c r="N95" s="20"/>
    </row>
    <row r="96" spans="1:14" x14ac:dyDescent="0.25">
      <c r="A96" s="9"/>
      <c r="B96" s="9"/>
      <c r="C96" s="9"/>
      <c r="D96" s="9"/>
      <c r="E96" s="107"/>
      <c r="F96" s="22"/>
      <c r="G96" s="22"/>
      <c r="H96" s="22"/>
      <c r="I96" s="22"/>
      <c r="J96" s="22"/>
      <c r="K96" s="22"/>
      <c r="L96" s="22"/>
      <c r="M96" s="22"/>
      <c r="N96" s="22"/>
    </row>
    <row r="97" spans="1:14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25">
      <c r="B98" s="112"/>
      <c r="C98" s="112"/>
      <c r="D98" s="112"/>
      <c r="E98" s="112"/>
    </row>
    <row r="99" spans="1:14" x14ac:dyDescent="0.25">
      <c r="A99" s="34"/>
      <c r="B99" s="34"/>
      <c r="C99" s="34"/>
      <c r="D99" s="34"/>
      <c r="E99" s="34"/>
      <c r="F99" s="113"/>
      <c r="G99" s="113"/>
      <c r="H99" s="113"/>
      <c r="I99" s="113"/>
      <c r="J99" s="113"/>
      <c r="K99" s="113"/>
      <c r="L99" s="113"/>
      <c r="M99" s="113"/>
      <c r="N99" s="113"/>
    </row>
    <row r="100" spans="1:14" x14ac:dyDescent="0.25">
      <c r="A100" s="34"/>
      <c r="B100" s="34"/>
      <c r="C100" s="34"/>
      <c r="D100" s="34"/>
      <c r="E100" s="34"/>
      <c r="F100" s="113"/>
      <c r="G100" s="113"/>
      <c r="H100" s="113"/>
      <c r="I100" s="113"/>
      <c r="J100" s="113"/>
      <c r="K100" s="113"/>
      <c r="L100" s="113"/>
      <c r="M100" s="113"/>
      <c r="N100" s="113"/>
    </row>
    <row r="101" spans="1:14" x14ac:dyDescent="0.25">
      <c r="A101" s="34"/>
      <c r="B101" s="34"/>
      <c r="C101" s="34"/>
      <c r="D101" s="34"/>
      <c r="E101" s="34"/>
      <c r="F101" s="113"/>
      <c r="G101" s="113"/>
      <c r="H101" s="113"/>
      <c r="I101" s="113"/>
      <c r="J101" s="113"/>
      <c r="K101" s="113"/>
      <c r="L101" s="113"/>
      <c r="M101" s="113"/>
      <c r="N101" s="113"/>
    </row>
    <row r="102" spans="1:14" x14ac:dyDescent="0.25">
      <c r="A102" s="34"/>
      <c r="B102" s="34"/>
      <c r="C102" s="34"/>
      <c r="D102" s="34"/>
      <c r="E102" s="34"/>
      <c r="F102" s="113"/>
      <c r="G102" s="113"/>
      <c r="H102" s="113"/>
      <c r="I102" s="113"/>
      <c r="J102" s="113"/>
      <c r="K102" s="113"/>
      <c r="L102" s="113"/>
      <c r="M102" s="113"/>
      <c r="N102" s="113"/>
    </row>
    <row r="103" spans="1:14" x14ac:dyDescent="0.25">
      <c r="A103" s="34"/>
      <c r="B103" s="34"/>
      <c r="C103" s="34"/>
      <c r="D103" s="34"/>
      <c r="E103" s="34"/>
      <c r="F103" s="113"/>
      <c r="G103" s="113"/>
      <c r="H103" s="113"/>
      <c r="I103" s="113"/>
      <c r="J103" s="113"/>
      <c r="K103" s="113"/>
      <c r="L103" s="113"/>
      <c r="M103" s="113"/>
      <c r="N103" s="113"/>
    </row>
    <row r="104" spans="1:14" x14ac:dyDescent="0.25">
      <c r="A104" s="34"/>
      <c r="B104" s="34"/>
      <c r="C104" s="34"/>
      <c r="D104" s="34"/>
      <c r="E104" s="34"/>
      <c r="F104" s="113"/>
      <c r="G104" s="113"/>
      <c r="H104" s="113"/>
      <c r="I104" s="113"/>
      <c r="J104" s="113"/>
      <c r="K104" s="113"/>
      <c r="L104" s="113"/>
      <c r="M104" s="113"/>
      <c r="N104" s="113"/>
    </row>
    <row r="105" spans="1:14" x14ac:dyDescent="0.25">
      <c r="A105" s="34"/>
      <c r="B105" s="34"/>
      <c r="C105" s="34"/>
      <c r="D105" s="34"/>
      <c r="E105" s="34"/>
      <c r="F105" s="113"/>
      <c r="G105" s="113"/>
      <c r="H105" s="113"/>
      <c r="I105" s="113"/>
      <c r="J105" s="113"/>
      <c r="K105" s="113"/>
      <c r="L105" s="113"/>
      <c r="M105" s="113"/>
      <c r="N105" s="113"/>
    </row>
    <row r="106" spans="1:14" x14ac:dyDescent="0.25">
      <c r="A106" s="34"/>
      <c r="B106" s="34"/>
      <c r="C106" s="34"/>
      <c r="D106" s="34"/>
      <c r="E106" s="34"/>
      <c r="F106" s="113"/>
      <c r="G106" s="113"/>
      <c r="H106" s="113"/>
      <c r="I106" s="113"/>
      <c r="J106" s="113"/>
      <c r="K106" s="113"/>
      <c r="L106" s="113"/>
      <c r="M106" s="113"/>
      <c r="N106" s="113"/>
    </row>
    <row r="107" spans="1:14" x14ac:dyDescent="0.25">
      <c r="A107" s="34"/>
      <c r="B107" s="34"/>
      <c r="C107" s="34"/>
      <c r="D107" s="34"/>
      <c r="E107" s="34"/>
      <c r="F107" s="113"/>
      <c r="G107" s="113"/>
      <c r="H107" s="113"/>
      <c r="I107" s="113"/>
      <c r="J107" s="113"/>
      <c r="K107" s="113"/>
      <c r="L107" s="113"/>
      <c r="M107" s="113"/>
      <c r="N107" s="113"/>
    </row>
    <row r="108" spans="1:14" x14ac:dyDescent="0.25">
      <c r="A108" s="34"/>
      <c r="B108" s="34"/>
      <c r="C108" s="34"/>
      <c r="D108" s="34"/>
      <c r="E108" s="34"/>
      <c r="F108" s="113"/>
      <c r="G108" s="113"/>
      <c r="H108" s="113"/>
      <c r="I108" s="113"/>
      <c r="J108" s="113"/>
      <c r="K108" s="113"/>
      <c r="L108" s="113"/>
      <c r="M108" s="113"/>
      <c r="N108" s="113"/>
    </row>
    <row r="109" spans="1:14" x14ac:dyDescent="0.25">
      <c r="A109" s="34"/>
      <c r="B109" s="34"/>
      <c r="C109" s="34"/>
      <c r="D109" s="34"/>
      <c r="E109" s="34"/>
      <c r="F109" s="113"/>
      <c r="G109" s="113"/>
      <c r="H109" s="113"/>
      <c r="I109" s="113"/>
      <c r="J109" s="113"/>
      <c r="K109" s="113"/>
      <c r="L109" s="113"/>
      <c r="M109" s="113"/>
      <c r="N109" s="113"/>
    </row>
    <row r="110" spans="1:14" x14ac:dyDescent="0.25">
      <c r="A110" s="34"/>
      <c r="B110" s="34"/>
      <c r="C110" s="34"/>
      <c r="D110" s="34"/>
      <c r="E110" s="34"/>
      <c r="F110" s="113"/>
      <c r="G110" s="113"/>
      <c r="H110" s="113"/>
      <c r="I110" s="113"/>
      <c r="J110" s="113"/>
      <c r="K110" s="113"/>
      <c r="L110" s="113"/>
      <c r="M110" s="113"/>
      <c r="N110" s="113"/>
    </row>
    <row r="111" spans="1:14" x14ac:dyDescent="0.25">
      <c r="A111" s="34"/>
      <c r="B111" s="34"/>
      <c r="C111" s="34"/>
      <c r="D111" s="34"/>
      <c r="E111" s="34"/>
      <c r="F111" s="113"/>
      <c r="G111" s="113"/>
      <c r="H111" s="113"/>
      <c r="I111" s="113"/>
      <c r="J111" s="113"/>
      <c r="K111" s="113"/>
      <c r="L111" s="113"/>
      <c r="M111" s="113"/>
      <c r="N111" s="113"/>
    </row>
    <row r="112" spans="1:14" x14ac:dyDescent="0.25">
      <c r="A112" s="34"/>
      <c r="B112" s="34"/>
      <c r="C112" s="34"/>
      <c r="D112" s="34"/>
      <c r="E112" s="34"/>
      <c r="F112" s="113"/>
      <c r="G112" s="113"/>
      <c r="H112" s="113"/>
      <c r="I112" s="113"/>
      <c r="J112" s="113"/>
      <c r="K112" s="113"/>
      <c r="L112" s="113"/>
      <c r="M112" s="113"/>
      <c r="N112" s="113"/>
    </row>
    <row r="113" spans="1:14" x14ac:dyDescent="0.25">
      <c r="A113" s="34"/>
      <c r="B113" s="34"/>
      <c r="C113" s="34"/>
      <c r="D113" s="34"/>
      <c r="E113" s="34"/>
      <c r="F113" s="113"/>
      <c r="G113" s="113"/>
      <c r="H113" s="113"/>
      <c r="I113" s="113"/>
      <c r="J113" s="113"/>
      <c r="K113" s="113"/>
      <c r="L113" s="113"/>
      <c r="M113" s="113"/>
      <c r="N113" s="113"/>
    </row>
    <row r="114" spans="1:14" x14ac:dyDescent="0.25">
      <c r="A114" s="34"/>
      <c r="B114" s="34"/>
      <c r="C114" s="34"/>
      <c r="D114" s="34"/>
      <c r="E114" s="34"/>
      <c r="F114" s="113"/>
      <c r="G114" s="113"/>
      <c r="H114" s="113"/>
      <c r="I114" s="113"/>
      <c r="J114" s="113"/>
      <c r="K114" s="113"/>
      <c r="L114" s="113"/>
      <c r="M114" s="113"/>
      <c r="N114" s="113"/>
    </row>
    <row r="115" spans="1:14" x14ac:dyDescent="0.25">
      <c r="A115" s="34"/>
      <c r="B115" s="34"/>
      <c r="C115" s="34"/>
      <c r="D115" s="34"/>
      <c r="E115" s="34"/>
      <c r="F115" s="113"/>
      <c r="G115" s="113"/>
      <c r="H115" s="113"/>
      <c r="I115" s="113"/>
      <c r="J115" s="113"/>
      <c r="K115" s="113"/>
      <c r="L115" s="113"/>
      <c r="M115" s="113"/>
      <c r="N115" s="113"/>
    </row>
    <row r="116" spans="1:14" x14ac:dyDescent="0.25">
      <c r="A116" s="34"/>
      <c r="B116" s="34"/>
      <c r="C116" s="34"/>
      <c r="D116" s="34"/>
      <c r="E116" s="34"/>
      <c r="F116" s="113"/>
      <c r="G116" s="113"/>
      <c r="H116" s="113"/>
      <c r="I116" s="113"/>
      <c r="J116" s="113"/>
      <c r="K116" s="113"/>
      <c r="L116" s="113"/>
      <c r="M116" s="113"/>
      <c r="N116" s="113"/>
    </row>
    <row r="117" spans="1:14" x14ac:dyDescent="0.25">
      <c r="B117" s="197"/>
      <c r="C117" s="197"/>
      <c r="D117" s="197"/>
      <c r="E117" s="197"/>
      <c r="F117" s="28"/>
      <c r="G117" s="28"/>
      <c r="H117" s="28"/>
      <c r="I117" s="28"/>
      <c r="J117" s="28"/>
      <c r="K117" s="28"/>
      <c r="L117" s="28"/>
      <c r="M117" s="28"/>
      <c r="N117" s="20"/>
    </row>
    <row r="118" spans="1:14" x14ac:dyDescent="0.25">
      <c r="B118" s="197"/>
      <c r="C118" s="197"/>
      <c r="D118" s="197"/>
      <c r="E118" s="197"/>
      <c r="F118" s="28"/>
      <c r="G118" s="28"/>
      <c r="H118" s="28"/>
      <c r="I118" s="28"/>
      <c r="J118" s="28"/>
      <c r="K118" s="28"/>
      <c r="L118" s="28"/>
      <c r="M118" s="28"/>
      <c r="N118" s="20"/>
    </row>
    <row r="119" spans="1:14" x14ac:dyDescent="0.25">
      <c r="B119" s="238"/>
      <c r="C119" s="238"/>
      <c r="D119" s="238"/>
      <c r="E119" s="238"/>
      <c r="F119" s="28"/>
      <c r="G119" s="28"/>
      <c r="H119" s="28"/>
      <c r="I119" s="28"/>
      <c r="J119" s="28"/>
      <c r="K119" s="28"/>
      <c r="L119" s="28"/>
      <c r="M119" s="28"/>
      <c r="N119" s="114"/>
    </row>
    <row r="120" spans="1:14" x14ac:dyDescent="0.25">
      <c r="A120" s="115"/>
      <c r="B120" s="115"/>
      <c r="C120" s="115"/>
      <c r="D120" s="115"/>
      <c r="E120" s="115"/>
      <c r="F120" s="116"/>
      <c r="G120" s="116"/>
      <c r="H120" s="116"/>
      <c r="I120" s="116"/>
      <c r="J120" s="116"/>
      <c r="K120" s="116"/>
      <c r="L120" s="116"/>
      <c r="M120" s="116"/>
      <c r="N120" s="116"/>
    </row>
    <row r="121" spans="1:14" x14ac:dyDescent="0.25">
      <c r="B121" s="29"/>
      <c r="E121" s="68"/>
      <c r="F121" s="20"/>
      <c r="G121" s="20"/>
      <c r="H121" s="20"/>
      <c r="I121" s="20"/>
      <c r="J121" s="20"/>
      <c r="K121" s="20"/>
      <c r="L121" s="20"/>
      <c r="M121" s="20"/>
      <c r="N121" s="20"/>
    </row>
    <row r="122" spans="1:14" x14ac:dyDescent="0.25">
      <c r="B122" s="29"/>
      <c r="E122" s="68"/>
      <c r="F122" s="20"/>
      <c r="G122" s="20"/>
      <c r="H122" s="20"/>
      <c r="I122" s="20"/>
      <c r="J122" s="20"/>
      <c r="K122" s="20"/>
      <c r="L122" s="20"/>
      <c r="M122" s="20"/>
      <c r="N122" s="20"/>
    </row>
    <row r="123" spans="1:14" x14ac:dyDescent="0.25">
      <c r="B123" s="29"/>
      <c r="E123" s="68"/>
      <c r="F123" s="20"/>
      <c r="G123" s="20"/>
      <c r="H123" s="20"/>
      <c r="I123" s="20"/>
      <c r="J123" s="20"/>
      <c r="K123" s="20"/>
      <c r="L123" s="20"/>
      <c r="M123" s="20"/>
      <c r="N123" s="20"/>
    </row>
    <row r="124" spans="1:14" x14ac:dyDescent="0.25">
      <c r="E124" s="138"/>
      <c r="F124" s="28"/>
      <c r="G124" s="28"/>
      <c r="H124" s="28"/>
      <c r="I124" s="28"/>
      <c r="J124" s="28"/>
      <c r="K124" s="28"/>
      <c r="L124" s="28"/>
      <c r="M124" s="28"/>
      <c r="N124" s="28"/>
    </row>
    <row r="125" spans="1:14" x14ac:dyDescent="0.25">
      <c r="D125" s="201"/>
      <c r="E125" s="201"/>
      <c r="F125" s="20"/>
      <c r="G125" s="20"/>
      <c r="H125" s="20"/>
      <c r="I125" s="20"/>
      <c r="J125" s="20"/>
      <c r="K125" s="20"/>
      <c r="L125" s="20"/>
      <c r="M125" s="20"/>
      <c r="N125" s="28"/>
    </row>
    <row r="126" spans="1:14" ht="15.75" x14ac:dyDescent="0.25">
      <c r="D126" s="232"/>
      <c r="E126" s="232"/>
      <c r="F126" s="117"/>
      <c r="G126" s="117"/>
      <c r="H126" s="117"/>
      <c r="I126" s="117"/>
      <c r="J126" s="117"/>
      <c r="K126" s="117"/>
      <c r="L126" s="117"/>
      <c r="M126" s="117"/>
      <c r="N126" s="28"/>
    </row>
  </sheetData>
  <sheetProtection formatCells="0" formatColumns="0" formatRows="0" insertColumns="0" insertRows="0" insertHyperlinks="0" deleteColumns="0" deleteRows="0"/>
  <mergeCells count="22">
    <mergeCell ref="D61:E61"/>
    <mergeCell ref="B2:C2"/>
    <mergeCell ref="B3:C3"/>
    <mergeCell ref="B6:D6"/>
    <mergeCell ref="B51:E51"/>
    <mergeCell ref="B52:E52"/>
    <mergeCell ref="F2:N2"/>
    <mergeCell ref="F3:N10"/>
    <mergeCell ref="D125:E125"/>
    <mergeCell ref="D126:E126"/>
    <mergeCell ref="D62:E62"/>
    <mergeCell ref="D63:E63"/>
    <mergeCell ref="B53:E53"/>
    <mergeCell ref="D56:E56"/>
    <mergeCell ref="D57:E57"/>
    <mergeCell ref="C58:E58"/>
    <mergeCell ref="D59:E59"/>
    <mergeCell ref="D60:E60"/>
    <mergeCell ref="B73:C73"/>
    <mergeCell ref="B117:E117"/>
    <mergeCell ref="B118:E118"/>
    <mergeCell ref="B119:E119"/>
  </mergeCells>
  <printOptions horizontalCentered="1"/>
  <pageMargins left="0.25" right="0.25" top="0.75" bottom="0.75" header="0.3" footer="0.3"/>
  <pageSetup scale="69" orientation="portrait" r:id="rId1"/>
  <headerFooter>
    <oddHeader>&amp;C&amp;14ESTIMATING QUOTE WORKSHEET&amp;11
&amp;G</oddHeader>
    <oddFooter>&amp;LForm 205 &amp;A&amp;CPage &amp;P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5" name="Check Box 1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32</xdr:row>
                    <xdr:rowOff>0</xdr:rowOff>
                  </from>
                  <to>
                    <xdr:col>14</xdr:col>
                    <xdr:colOff>95250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6" name="Check Box 2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33</xdr:row>
                    <xdr:rowOff>9525</xdr:rowOff>
                  </from>
                  <to>
                    <xdr:col>14</xdr:col>
                    <xdr:colOff>95250</xdr:colOff>
                    <xdr:row>34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7" name="Check Box 3">
              <controlPr defaultSize="0" autoFill="0" autoLine="0" autoPict="0" altText="Amortize?_x000a_">
                <anchor moveWithCells="1">
                  <from>
                    <xdr:col>13</xdr:col>
                    <xdr:colOff>19050</xdr:colOff>
                    <xdr:row>34</xdr:row>
                    <xdr:rowOff>0</xdr:rowOff>
                  </from>
                  <to>
                    <xdr:col>14</xdr:col>
                    <xdr:colOff>95250</xdr:colOff>
                    <xdr:row>35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8" name="Check Box 4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35</xdr:row>
                    <xdr:rowOff>0</xdr:rowOff>
                  </from>
                  <to>
                    <xdr:col>14</xdr:col>
                    <xdr:colOff>85725</xdr:colOff>
                    <xdr:row>36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9" name="Check Box 5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36</xdr:row>
                    <xdr:rowOff>0</xdr:rowOff>
                  </from>
                  <to>
                    <xdr:col>14</xdr:col>
                    <xdr:colOff>85725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10" name="Check Box 6">
              <controlPr defaultSize="0" autoFill="0" autoLine="0" autoPict="0" altText="Amortize?_x000a_">
                <anchor moveWithCells="1">
                  <from>
                    <xdr:col>13</xdr:col>
                    <xdr:colOff>9525</xdr:colOff>
                    <xdr:row>37</xdr:row>
                    <xdr:rowOff>0</xdr:rowOff>
                  </from>
                  <to>
                    <xdr:col>14</xdr:col>
                    <xdr:colOff>85725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1" name="Check Box 7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38</xdr:row>
                    <xdr:rowOff>0</xdr:rowOff>
                  </from>
                  <to>
                    <xdr:col>14</xdr:col>
                    <xdr:colOff>76200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2" name="Check Box 8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39</xdr:row>
                    <xdr:rowOff>0</xdr:rowOff>
                  </from>
                  <to>
                    <xdr:col>14</xdr:col>
                    <xdr:colOff>76200</xdr:colOff>
                    <xdr:row>40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3" name="Check Box 9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40</xdr:row>
                    <xdr:rowOff>0</xdr:rowOff>
                  </from>
                  <to>
                    <xdr:col>14</xdr:col>
                    <xdr:colOff>76200</xdr:colOff>
                    <xdr:row>41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4" name="Check Box 10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41</xdr:row>
                    <xdr:rowOff>0</xdr:rowOff>
                  </from>
                  <to>
                    <xdr:col>14</xdr:col>
                    <xdr:colOff>76200</xdr:colOff>
                    <xdr:row>42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5" name="Check Box 11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42</xdr:row>
                    <xdr:rowOff>0</xdr:rowOff>
                  </from>
                  <to>
                    <xdr:col>14</xdr:col>
                    <xdr:colOff>76200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6" name="Check Box 12">
              <controlPr defaultSize="0" autoFill="0" autoLine="0" autoPict="0" altText="Amortize?_x000a_">
                <anchor moveWithCells="1">
                  <from>
                    <xdr:col>13</xdr:col>
                    <xdr:colOff>0</xdr:colOff>
                    <xdr:row>43</xdr:row>
                    <xdr:rowOff>0</xdr:rowOff>
                  </from>
                  <to>
                    <xdr:col>14</xdr:col>
                    <xdr:colOff>76200</xdr:colOff>
                    <xdr:row>44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DFE01F-F812-4097-BCBC-CF7780BB9A42}">
          <x14:formula1>
            <xm:f>'Top Assy'!$A$135:$A$174</xm:f>
          </x14:formula1>
          <xm:sqref>A14:A25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15</vt:i4>
      </vt:variant>
    </vt:vector>
  </HeadingPairs>
  <TitlesOfParts>
    <vt:vector size="28" baseType="lpstr">
      <vt:lpstr>Top Assy</vt:lpstr>
      <vt:lpstr>Subassy 1</vt:lpstr>
      <vt:lpstr>Subassy 2</vt:lpstr>
      <vt:lpstr>Subassy 3</vt:lpstr>
      <vt:lpstr>Subassy 4</vt:lpstr>
      <vt:lpstr>Subassy 5</vt:lpstr>
      <vt:lpstr>Subassy 6</vt:lpstr>
      <vt:lpstr>Subassy 7</vt:lpstr>
      <vt:lpstr>Subassy 8</vt:lpstr>
      <vt:lpstr>Subassy 9</vt:lpstr>
      <vt:lpstr>Subassy 10</vt:lpstr>
      <vt:lpstr>Subassy 11</vt:lpstr>
      <vt:lpstr>Subassy 12</vt:lpstr>
      <vt:lpstr>'Subassy 1'!Print_Area</vt:lpstr>
      <vt:lpstr>'Subassy 10'!Print_Area</vt:lpstr>
      <vt:lpstr>'Subassy 11'!Print_Area</vt:lpstr>
      <vt:lpstr>'Subassy 12'!Print_Area</vt:lpstr>
      <vt:lpstr>'Subassy 2'!Print_Area</vt:lpstr>
      <vt:lpstr>'Subassy 3'!Print_Area</vt:lpstr>
      <vt:lpstr>'Subassy 4'!Print_Area</vt:lpstr>
      <vt:lpstr>'Subassy 5'!Print_Area</vt:lpstr>
      <vt:lpstr>'Subassy 6'!Print_Area</vt:lpstr>
      <vt:lpstr>'Subassy 7'!Print_Area</vt:lpstr>
      <vt:lpstr>'Subassy 8'!Print_Area</vt:lpstr>
      <vt:lpstr>'Subassy 9'!Print_Area</vt:lpstr>
      <vt:lpstr>'Top Assy'!Print_Area</vt:lpstr>
      <vt:lpstr>Subassembly</vt:lpstr>
      <vt:lpstr>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2016-05-19T15:35:34Z</dcterms:created>
  <dcterms:modified xsi:type="dcterms:W3CDTF">2026-08-06T17:13:47Z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c161e1-2eb3-4e94-8690-285c9f367e9c_Enabled">
    <vt:lpwstr>true</vt:lpwstr>
  </property>
  <property fmtid="{D5CDD505-2E9C-101B-9397-08002B2CF9AE}" pid="3" name="MSIP_Label_4cc161e1-2eb3-4e94-8690-285c9f367e9c_SetDate">
    <vt:lpwstr>2025-06-11T15:17:56Z</vt:lpwstr>
  </property>
  <property fmtid="{D5CDD505-2E9C-101B-9397-08002B2CF9AE}" pid="4" name="MSIP_Label_4cc161e1-2eb3-4e94-8690-285c9f367e9c_Method">
    <vt:lpwstr>Standard</vt:lpwstr>
  </property>
  <property fmtid="{D5CDD505-2E9C-101B-9397-08002B2CF9AE}" pid="5" name="MSIP_Label_4cc161e1-2eb3-4e94-8690-285c9f367e9c_Name">
    <vt:lpwstr>Non CUI - Controlled Unclassified Information</vt:lpwstr>
  </property>
  <property fmtid="{D5CDD505-2E9C-101B-9397-08002B2CF9AE}" pid="6" name="MSIP_Label_4cc161e1-2eb3-4e94-8690-285c9f367e9c_SiteId">
    <vt:lpwstr>3601bc11-8d58-46d9-b712-1d3558f95a17</vt:lpwstr>
  </property>
  <property fmtid="{D5CDD505-2E9C-101B-9397-08002B2CF9AE}" pid="7" name="MSIP_Label_4cc161e1-2eb3-4e94-8690-285c9f367e9c_ActionId">
    <vt:lpwstr>a0b9bdbe-f53f-4ed9-93b7-d1cd0a36a925</vt:lpwstr>
  </property>
  <property fmtid="{D5CDD505-2E9C-101B-9397-08002B2CF9AE}" pid="8" name="MSIP_Label_4cc161e1-2eb3-4e94-8690-285c9f367e9c_ContentBits">
    <vt:lpwstr>0</vt:lpwstr>
  </property>
  <property fmtid="{D5CDD505-2E9C-101B-9397-08002B2CF9AE}" pid="9" name="MSIP_Label_4cc161e1-2eb3-4e94-8690-285c9f367e9c_Tag">
    <vt:lpwstr>10, 3, 0, 1</vt:lpwstr>
  </property>
</Properties>
</file>