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trlProps/ctrlProp25.xml" ContentType="application/vnd.ms-excel.controlproperties+xml"/>
  <Override PartName="/xl/ctrlProps/ctrlProp26.xml" ContentType="application/vnd.ms-excel.controlpropertie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filterPrivacy="1" updateLinks="always" defaultThemeVersion="124226"/>
  <xr:revisionPtr revIDLastSave="0" documentId="8_{9AA5B34C-CCA4-44F8-A95B-F203E9F92CCB}" xr6:coauthVersionLast="47" xr6:coauthVersionMax="47" xr10:uidLastSave="{00000000-0000-0000-0000-000000000000}"/>
  <bookViews>
    <workbookView xWindow="-108" yWindow="-108" windowWidth="23256" windowHeight="13896" tabRatio="596" activeTab="1" xr2:uid="{00000000-000D-0000-FFFF-FFFF00000000}"/>
  </bookViews>
  <sheets>
    <sheet name="Rev E" sheetId="1" r:id="rId1"/>
    <sheet name="Rubber Breakdown" sheetId="2" r:id="rId2"/>
  </sheets>
  <externalReferences>
    <externalReference r:id="rId3"/>
  </externalReferences>
  <definedNames>
    <definedName name="CAV">'Rubber Breakdown'!$N$3</definedName>
    <definedName name="Difficulty">'Rubber Breakdown'!$B$98:$C$102</definedName>
    <definedName name="_xlnm.Print_Area" localSheetId="0">'Rev E'!$A$2:$N$76</definedName>
    <definedName name="_xlnm.Print_Area" localSheetId="1">'Rubber Breakdown'!$A$2:$N$89</definedName>
    <definedName name="Year">'Rev E'!$B$9</definedName>
    <definedName name="YearRubber">'Rubber Breakdown'!$B$9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E21" i="2" l="1"/>
  <c r="B83" i="1"/>
  <c r="B6" i="2"/>
  <c r="Q9" i="2"/>
  <c r="Q8" i="2"/>
  <c r="J60" i="2"/>
  <c r="K60" i="2"/>
  <c r="J61" i="2"/>
  <c r="K61" i="2"/>
  <c r="J62" i="2"/>
  <c r="K62" i="2"/>
  <c r="J63" i="2"/>
  <c r="K63" i="2"/>
  <c r="J64" i="2"/>
  <c r="K64" i="2"/>
  <c r="J46" i="2"/>
  <c r="K46" i="2"/>
  <c r="B6" i="1"/>
  <c r="Q72" i="1"/>
  <c r="Q71" i="1"/>
  <c r="J48" i="1"/>
  <c r="K48" i="1"/>
  <c r="J49" i="1"/>
  <c r="K49" i="1"/>
  <c r="J50" i="1"/>
  <c r="K50" i="1"/>
  <c r="J51" i="1"/>
  <c r="K51" i="1"/>
  <c r="J47" i="1"/>
  <c r="J53" i="1" s="1"/>
  <c r="K47" i="1"/>
  <c r="K53" i="1" s="1"/>
  <c r="J33" i="1"/>
  <c r="K33" i="1"/>
  <c r="E25" i="2"/>
  <c r="J25" i="2" s="1"/>
  <c r="E18" i="2"/>
  <c r="J18" i="2" s="1"/>
  <c r="E17" i="2"/>
  <c r="E16" i="2"/>
  <c r="E60" i="1"/>
  <c r="B96" i="2"/>
  <c r="E75" i="2" s="1"/>
  <c r="E58" i="1"/>
  <c r="C29" i="1"/>
  <c r="B29" i="1"/>
  <c r="J28" i="1" s="1"/>
  <c r="J66" i="2" l="1"/>
  <c r="K66" i="2"/>
  <c r="K18" i="2"/>
  <c r="K25" i="2"/>
  <c r="E19" i="2"/>
  <c r="E20" i="2"/>
  <c r="E23" i="2"/>
  <c r="E35" i="2"/>
  <c r="E37" i="2"/>
  <c r="E33" i="2"/>
  <c r="J58" i="1"/>
  <c r="K28" i="1"/>
  <c r="K58" i="1"/>
  <c r="E24" i="2"/>
  <c r="E36" i="2"/>
  <c r="E38" i="2"/>
  <c r="E14" i="2"/>
  <c r="E26" i="2"/>
  <c r="E15" i="2"/>
  <c r="E27" i="2"/>
  <c r="E39" i="2"/>
  <c r="E28" i="2"/>
  <c r="D42" i="2"/>
  <c r="E29" i="2"/>
  <c r="E69" i="2"/>
  <c r="E30" i="2"/>
  <c r="E70" i="2"/>
  <c r="E31" i="2"/>
  <c r="E71" i="2"/>
  <c r="E32" i="2"/>
  <c r="E73" i="2"/>
  <c r="E74" i="2"/>
  <c r="E22" i="2"/>
  <c r="E34" i="2"/>
  <c r="E19" i="1"/>
  <c r="E20" i="1"/>
  <c r="E61" i="1"/>
  <c r="E62" i="1"/>
  <c r="E22" i="1"/>
  <c r="E23" i="1"/>
  <c r="E24" i="1"/>
  <c r="E21" i="1"/>
  <c r="E25" i="1"/>
  <c r="E14" i="1"/>
  <c r="E26" i="1"/>
  <c r="E15" i="1"/>
  <c r="D29" i="1"/>
  <c r="E16" i="1"/>
  <c r="E56" i="1"/>
  <c r="E17" i="1"/>
  <c r="E57" i="1"/>
  <c r="E18" i="1"/>
  <c r="Q74" i="1"/>
  <c r="Q73" i="1"/>
  <c r="K71" i="2" l="1"/>
  <c r="J62" i="1"/>
  <c r="J68" i="1" s="1"/>
  <c r="K75" i="2"/>
  <c r="K81" i="2" s="1"/>
  <c r="J38" i="2"/>
  <c r="K38" i="2"/>
  <c r="K36" i="2"/>
  <c r="J36" i="2"/>
  <c r="K24" i="2"/>
  <c r="J24" i="2"/>
  <c r="K31" i="2"/>
  <c r="J31" i="2"/>
  <c r="J30" i="2"/>
  <c r="K30" i="2"/>
  <c r="J32" i="2"/>
  <c r="K32" i="2"/>
  <c r="K29" i="2"/>
  <c r="J29" i="2"/>
  <c r="J33" i="2"/>
  <c r="K33" i="2"/>
  <c r="J71" i="2"/>
  <c r="J75" i="2" s="1"/>
  <c r="J37" i="2"/>
  <c r="K37" i="2"/>
  <c r="J28" i="2"/>
  <c r="K28" i="2"/>
  <c r="J35" i="2"/>
  <c r="K35" i="2"/>
  <c r="J27" i="2"/>
  <c r="K27" i="2"/>
  <c r="J21" i="2"/>
  <c r="K21" i="2"/>
  <c r="K23" i="2"/>
  <c r="J23" i="2"/>
  <c r="J20" i="2"/>
  <c r="K20" i="2"/>
  <c r="J22" i="2"/>
  <c r="K22" i="2"/>
  <c r="K39" i="2"/>
  <c r="J39" i="2"/>
  <c r="J34" i="2"/>
  <c r="K34" i="2"/>
  <c r="J26" i="2"/>
  <c r="K26" i="2"/>
  <c r="J19" i="2"/>
  <c r="K19" i="2"/>
  <c r="M20" i="1"/>
  <c r="J20" i="1"/>
  <c r="F20" i="1"/>
  <c r="K20" i="1"/>
  <c r="G20" i="1"/>
  <c r="H20" i="1"/>
  <c r="I20" i="1"/>
  <c r="L20" i="1"/>
  <c r="H19" i="1"/>
  <c r="I19" i="1"/>
  <c r="F19" i="1"/>
  <c r="J19" i="1"/>
  <c r="K19" i="1"/>
  <c r="L19" i="1"/>
  <c r="M19" i="1"/>
  <c r="G19" i="1"/>
  <c r="I17" i="1"/>
  <c r="G17" i="1"/>
  <c r="J17" i="1"/>
  <c r="H17" i="1"/>
  <c r="K17" i="1"/>
  <c r="L17" i="1"/>
  <c r="M17" i="1"/>
  <c r="H21" i="1"/>
  <c r="I21" i="1"/>
  <c r="J21" i="1"/>
  <c r="K21" i="1"/>
  <c r="L21" i="1"/>
  <c r="M21" i="1"/>
  <c r="G21" i="1"/>
  <c r="F21" i="1"/>
  <c r="L24" i="1"/>
  <c r="F24" i="1"/>
  <c r="K24" i="1"/>
  <c r="M24" i="1"/>
  <c r="G24" i="1"/>
  <c r="H24" i="1"/>
  <c r="I24" i="1"/>
  <c r="J24" i="1"/>
  <c r="H23" i="1"/>
  <c r="G23" i="1"/>
  <c r="I23" i="1"/>
  <c r="J23" i="1"/>
  <c r="K23" i="1"/>
  <c r="L23" i="1"/>
  <c r="M23" i="1"/>
  <c r="F23" i="1"/>
  <c r="K18" i="1"/>
  <c r="F18" i="1"/>
  <c r="G18" i="1"/>
  <c r="H18" i="1"/>
  <c r="L18" i="1"/>
  <c r="M18" i="1"/>
  <c r="I18" i="1"/>
  <c r="J18" i="1"/>
  <c r="F26" i="1"/>
  <c r="J26" i="1"/>
  <c r="K26" i="1"/>
  <c r="G26" i="1"/>
  <c r="L26" i="1"/>
  <c r="M26" i="1"/>
  <c r="H26" i="1"/>
  <c r="I26" i="1"/>
  <c r="K62" i="1"/>
  <c r="K68" i="1" s="1"/>
  <c r="J22" i="1"/>
  <c r="L22" i="1"/>
  <c r="M22" i="1"/>
  <c r="F22" i="1"/>
  <c r="G22" i="1"/>
  <c r="H22" i="1"/>
  <c r="K22" i="1"/>
  <c r="I22" i="1"/>
  <c r="H25" i="1"/>
  <c r="I25" i="1"/>
  <c r="J25" i="1"/>
  <c r="K25" i="1"/>
  <c r="G25" i="1"/>
  <c r="L25" i="1"/>
  <c r="M25" i="1"/>
  <c r="F25" i="1"/>
  <c r="F36" i="2"/>
  <c r="H38" i="2"/>
  <c r="G37" i="2"/>
  <c r="G35" i="2"/>
  <c r="L38" i="2"/>
  <c r="C42" i="2"/>
  <c r="B42" i="2"/>
  <c r="J41" i="2" l="1"/>
  <c r="K41" i="2"/>
  <c r="K40" i="2"/>
  <c r="K42" i="2" s="1"/>
  <c r="K44" i="2" s="1"/>
  <c r="K69" i="2" s="1"/>
  <c r="J40" i="2"/>
  <c r="J42" i="2" s="1"/>
  <c r="J44" i="2" s="1"/>
  <c r="J81" i="2"/>
  <c r="J27" i="1"/>
  <c r="J29" i="1" s="1"/>
  <c r="J31" i="1" s="1"/>
  <c r="K27" i="1"/>
  <c r="K29" i="1" s="1"/>
  <c r="K31" i="1" s="1"/>
  <c r="F37" i="2"/>
  <c r="I38" i="2"/>
  <c r="G38" i="2"/>
  <c r="I37" i="2"/>
  <c r="I36" i="2"/>
  <c r="L37" i="2"/>
  <c r="M35" i="2"/>
  <c r="H36" i="2"/>
  <c r="H37" i="2"/>
  <c r="F38" i="2"/>
  <c r="H35" i="2"/>
  <c r="M36" i="2"/>
  <c r="L36" i="2"/>
  <c r="M37" i="2"/>
  <c r="F35" i="2"/>
  <c r="I35" i="2"/>
  <c r="G36" i="2"/>
  <c r="M38" i="2"/>
  <c r="L35" i="2"/>
  <c r="F41" i="2"/>
  <c r="G18" i="2"/>
  <c r="N17" i="2"/>
  <c r="N16" i="2"/>
  <c r="K73" i="2" l="1"/>
  <c r="K79" i="2" s="1"/>
  <c r="J69" i="2"/>
  <c r="K56" i="1"/>
  <c r="J56" i="1"/>
  <c r="J60" i="1" s="1"/>
  <c r="L18" i="2"/>
  <c r="F18" i="2"/>
  <c r="I18" i="2"/>
  <c r="H18" i="2"/>
  <c r="M18" i="2"/>
  <c r="F20" i="2"/>
  <c r="J73" i="2" l="1"/>
  <c r="J79" i="2"/>
  <c r="J66" i="1"/>
  <c r="K60" i="1"/>
  <c r="K66" i="1" s="1"/>
  <c r="M20" i="2"/>
  <c r="L20" i="2"/>
  <c r="I20" i="2"/>
  <c r="H20" i="2"/>
  <c r="G20" i="2"/>
  <c r="F39" i="2"/>
  <c r="I39" i="2" l="1"/>
  <c r="H39" i="2"/>
  <c r="M39" i="2"/>
  <c r="G39" i="2"/>
  <c r="L39" i="2"/>
  <c r="I28" i="2" l="1"/>
  <c r="H28" i="2" l="1"/>
  <c r="M28" i="2"/>
  <c r="G28" i="2"/>
  <c r="L28" i="2"/>
  <c r="F28" i="2"/>
  <c r="G32" i="2" l="1"/>
  <c r="M32" i="2"/>
  <c r="H32" i="2"/>
  <c r="I32" i="2"/>
  <c r="F32" i="2"/>
  <c r="L32" i="2"/>
  <c r="I33" i="2"/>
  <c r="F33" i="2"/>
  <c r="L33" i="2"/>
  <c r="G33" i="2"/>
  <c r="M33" i="2"/>
  <c r="H33" i="2"/>
  <c r="G30" i="2" l="1"/>
  <c r="M30" i="2"/>
  <c r="H30" i="2"/>
  <c r="I30" i="2"/>
  <c r="F30" i="2"/>
  <c r="L30" i="2"/>
  <c r="I29" i="2"/>
  <c r="F29" i="2"/>
  <c r="L29" i="2"/>
  <c r="G29" i="2"/>
  <c r="M29" i="2"/>
  <c r="H29" i="2"/>
  <c r="I31" i="2"/>
  <c r="F31" i="2"/>
  <c r="L31" i="2"/>
  <c r="G31" i="2"/>
  <c r="M31" i="2"/>
  <c r="H31" i="2"/>
  <c r="H21" i="2"/>
  <c r="M22" i="2"/>
  <c r="H23" i="2"/>
  <c r="I24" i="2"/>
  <c r="L25" i="2"/>
  <c r="M26" i="2"/>
  <c r="M27" i="2"/>
  <c r="G19" i="2"/>
  <c r="F34" i="2"/>
  <c r="N16" i="1"/>
  <c r="Q11" i="2"/>
  <c r="Q10" i="2"/>
  <c r="Q7" i="2"/>
  <c r="Q6" i="2"/>
  <c r="Q5" i="2"/>
  <c r="Q4" i="2"/>
  <c r="N66" i="2"/>
  <c r="N81" i="2" s="1"/>
  <c r="N65" i="2"/>
  <c r="N80" i="2" s="1"/>
  <c r="M64" i="2"/>
  <c r="L64" i="2"/>
  <c r="I64" i="2"/>
  <c r="H64" i="2"/>
  <c r="G64" i="2"/>
  <c r="F64" i="2"/>
  <c r="M63" i="2"/>
  <c r="L63" i="2"/>
  <c r="I63" i="2"/>
  <c r="H63" i="2"/>
  <c r="G63" i="2"/>
  <c r="F63" i="2"/>
  <c r="M62" i="2"/>
  <c r="L62" i="2"/>
  <c r="I62" i="2"/>
  <c r="H62" i="2"/>
  <c r="G62" i="2"/>
  <c r="F62" i="2"/>
  <c r="M61" i="2"/>
  <c r="L61" i="2"/>
  <c r="I61" i="2"/>
  <c r="H61" i="2"/>
  <c r="G61" i="2"/>
  <c r="F61" i="2"/>
  <c r="M60" i="2"/>
  <c r="L60" i="2"/>
  <c r="I60" i="2"/>
  <c r="H60" i="2"/>
  <c r="G60" i="2"/>
  <c r="F60" i="2"/>
  <c r="E58" i="2"/>
  <c r="E57" i="2"/>
  <c r="E56" i="2"/>
  <c r="E55" i="2"/>
  <c r="E54" i="2"/>
  <c r="E53" i="2"/>
  <c r="E52" i="2"/>
  <c r="E51" i="2"/>
  <c r="E50" i="2"/>
  <c r="E49" i="2"/>
  <c r="E48" i="2"/>
  <c r="E47" i="2"/>
  <c r="M46" i="2"/>
  <c r="L46" i="2"/>
  <c r="I46" i="2"/>
  <c r="H46" i="2"/>
  <c r="G46" i="2"/>
  <c r="F46" i="2"/>
  <c r="N15" i="2"/>
  <c r="N14" i="2"/>
  <c r="F49" i="2" l="1"/>
  <c r="G49" i="2"/>
  <c r="K49" i="2"/>
  <c r="H49" i="2"/>
  <c r="I49" i="2"/>
  <c r="J49" i="2"/>
  <c r="L49" i="2"/>
  <c r="M49" i="2"/>
  <c r="J53" i="2"/>
  <c r="F53" i="2"/>
  <c r="G53" i="2"/>
  <c r="H53" i="2"/>
  <c r="K53" i="2"/>
  <c r="I53" i="2"/>
  <c r="L53" i="2"/>
  <c r="M53" i="2"/>
  <c r="F56" i="2"/>
  <c r="I56" i="2"/>
  <c r="G56" i="2"/>
  <c r="H56" i="2"/>
  <c r="J56" i="2"/>
  <c r="L56" i="2"/>
  <c r="M56" i="2"/>
  <c r="K56" i="2"/>
  <c r="K47" i="2"/>
  <c r="G47" i="2"/>
  <c r="H47" i="2"/>
  <c r="I47" i="2"/>
  <c r="J47" i="2"/>
  <c r="L47" i="2"/>
  <c r="M47" i="2"/>
  <c r="K51" i="2"/>
  <c r="F51" i="2"/>
  <c r="G51" i="2"/>
  <c r="H51" i="2"/>
  <c r="I51" i="2"/>
  <c r="J51" i="2"/>
  <c r="L51" i="2"/>
  <c r="M51" i="2"/>
  <c r="K55" i="2"/>
  <c r="M55" i="2"/>
  <c r="F55" i="2"/>
  <c r="J55" i="2"/>
  <c r="G55" i="2"/>
  <c r="H55" i="2"/>
  <c r="I55" i="2"/>
  <c r="L55" i="2"/>
  <c r="F58" i="2"/>
  <c r="G58" i="2"/>
  <c r="H58" i="2"/>
  <c r="I58" i="2"/>
  <c r="J58" i="2"/>
  <c r="K58" i="2"/>
  <c r="L58" i="2"/>
  <c r="M58" i="2"/>
  <c r="F48" i="2"/>
  <c r="G48" i="2"/>
  <c r="H48" i="2"/>
  <c r="I48" i="2"/>
  <c r="J48" i="2"/>
  <c r="K48" i="2"/>
  <c r="L48" i="2"/>
  <c r="M48" i="2"/>
  <c r="F50" i="2"/>
  <c r="G50" i="2"/>
  <c r="J50" i="2"/>
  <c r="H50" i="2"/>
  <c r="I50" i="2"/>
  <c r="K50" i="2"/>
  <c r="L50" i="2"/>
  <c r="M50" i="2"/>
  <c r="F52" i="2"/>
  <c r="J52" i="2"/>
  <c r="G52" i="2"/>
  <c r="I52" i="2"/>
  <c r="H52" i="2"/>
  <c r="L52" i="2"/>
  <c r="K52" i="2"/>
  <c r="M52" i="2"/>
  <c r="F54" i="2"/>
  <c r="I54" i="2"/>
  <c r="G54" i="2"/>
  <c r="H54" i="2"/>
  <c r="J54" i="2"/>
  <c r="L54" i="2"/>
  <c r="M54" i="2"/>
  <c r="K54" i="2"/>
  <c r="F57" i="2"/>
  <c r="K57" i="2"/>
  <c r="M57" i="2"/>
  <c r="G57" i="2"/>
  <c r="H57" i="2"/>
  <c r="J57" i="2"/>
  <c r="I57" i="2"/>
  <c r="L57" i="2"/>
  <c r="F47" i="2"/>
  <c r="I41" i="2"/>
  <c r="G27" i="2"/>
  <c r="I27" i="2"/>
  <c r="H27" i="2"/>
  <c r="L27" i="2"/>
  <c r="F27" i="2"/>
  <c r="I34" i="2"/>
  <c r="H34" i="2"/>
  <c r="M34" i="2"/>
  <c r="G34" i="2"/>
  <c r="L34" i="2"/>
  <c r="H66" i="2"/>
  <c r="H71" i="2" s="1"/>
  <c r="H75" i="2" s="1"/>
  <c r="F66" i="2"/>
  <c r="F71" i="2" s="1"/>
  <c r="F75" i="2" s="1"/>
  <c r="L66" i="2"/>
  <c r="L71" i="2" s="1"/>
  <c r="L75" i="2" s="1"/>
  <c r="I66" i="2"/>
  <c r="I71" i="2" s="1"/>
  <c r="I75" i="2" s="1"/>
  <c r="M41" i="2"/>
  <c r="G41" i="2"/>
  <c r="H41" i="2"/>
  <c r="G66" i="2"/>
  <c r="G71" i="2" s="1"/>
  <c r="G75" i="2" s="1"/>
  <c r="G81" i="2" s="1"/>
  <c r="M66" i="2"/>
  <c r="H19" i="2"/>
  <c r="M19" i="2"/>
  <c r="H24" i="2"/>
  <c r="M24" i="2"/>
  <c r="L21" i="2"/>
  <c r="L23" i="2"/>
  <c r="I19" i="2"/>
  <c r="F23" i="2"/>
  <c r="G23" i="2"/>
  <c r="G24" i="2"/>
  <c r="H25" i="2"/>
  <c r="M23" i="2"/>
  <c r="N40" i="2"/>
  <c r="N44" i="2" s="1"/>
  <c r="I22" i="2"/>
  <c r="F22" i="2"/>
  <c r="I25" i="2"/>
  <c r="F19" i="2"/>
  <c r="L19" i="2"/>
  <c r="G21" i="2"/>
  <c r="M21" i="2"/>
  <c r="H22" i="2"/>
  <c r="I23" i="2"/>
  <c r="F24" i="2"/>
  <c r="L24" i="2"/>
  <c r="G25" i="2"/>
  <c r="M25" i="2"/>
  <c r="H26" i="2"/>
  <c r="L41" i="2"/>
  <c r="I26" i="2"/>
  <c r="L26" i="2"/>
  <c r="I21" i="2"/>
  <c r="L22" i="2"/>
  <c r="F26" i="2"/>
  <c r="F21" i="2"/>
  <c r="G22" i="2"/>
  <c r="F25" i="2"/>
  <c r="G26" i="2"/>
  <c r="Q70" i="1"/>
  <c r="Q69" i="1"/>
  <c r="Q67" i="1"/>
  <c r="Q68" i="1"/>
  <c r="J65" i="2" l="1"/>
  <c r="J70" i="2" s="1"/>
  <c r="K65" i="2"/>
  <c r="F40" i="2"/>
  <c r="L40" i="2"/>
  <c r="G40" i="2"/>
  <c r="G42" i="2" s="1"/>
  <c r="G44" i="2" s="1"/>
  <c r="H40" i="2"/>
  <c r="H42" i="2" s="1"/>
  <c r="H44" i="2" s="1"/>
  <c r="M40" i="2"/>
  <c r="M42" i="2" s="1"/>
  <c r="M44" i="2" s="1"/>
  <c r="I40" i="2"/>
  <c r="I42" i="2" s="1"/>
  <c r="I44" i="2" s="1"/>
  <c r="L65" i="2"/>
  <c r="L70" i="2" s="1"/>
  <c r="L74" i="2" s="1"/>
  <c r="M65" i="2"/>
  <c r="M70" i="2" s="1"/>
  <c r="M74" i="2" s="1"/>
  <c r="F65" i="2"/>
  <c r="F70" i="2" s="1"/>
  <c r="F74" i="2" s="1"/>
  <c r="H65" i="2"/>
  <c r="H70" i="2" s="1"/>
  <c r="H74" i="2" s="1"/>
  <c r="M71" i="2"/>
  <c r="M75" i="2" s="1"/>
  <c r="G65" i="2"/>
  <c r="G70" i="2" s="1"/>
  <c r="G74" i="2" s="1"/>
  <c r="I81" i="2"/>
  <c r="L81" i="2"/>
  <c r="N67" i="2"/>
  <c r="N77" i="2" s="1"/>
  <c r="N79" i="2"/>
  <c r="N82" i="2" s="1"/>
  <c r="I65" i="2"/>
  <c r="F81" i="2"/>
  <c r="H81" i="2"/>
  <c r="J67" i="2" l="1"/>
  <c r="J84" i="2" s="1"/>
  <c r="J74" i="2"/>
  <c r="J72" i="2"/>
  <c r="K70" i="2"/>
  <c r="K67" i="2"/>
  <c r="K83" i="2"/>
  <c r="J83" i="2"/>
  <c r="H67" i="2"/>
  <c r="H84" i="2" s="1"/>
  <c r="I67" i="2"/>
  <c r="I84" i="2" s="1"/>
  <c r="G67" i="2"/>
  <c r="G84" i="2" s="1"/>
  <c r="M67" i="2"/>
  <c r="M84" i="2" s="1"/>
  <c r="F42" i="2"/>
  <c r="F44" i="2" s="1"/>
  <c r="F67" i="2" s="1"/>
  <c r="M81" i="2"/>
  <c r="H80" i="2"/>
  <c r="F80" i="2"/>
  <c r="M69" i="2"/>
  <c r="M72" i="2" s="1"/>
  <c r="I69" i="2"/>
  <c r="I73" i="2" s="1"/>
  <c r="H69" i="2"/>
  <c r="H72" i="2" s="1"/>
  <c r="L42" i="2"/>
  <c r="L44" i="2" s="1"/>
  <c r="G69" i="2"/>
  <c r="G72" i="2" s="1"/>
  <c r="G80" i="2"/>
  <c r="M80" i="2"/>
  <c r="I70" i="2"/>
  <c r="I74" i="2" s="1"/>
  <c r="L80" i="2"/>
  <c r="L83" i="2"/>
  <c r="F83" i="2"/>
  <c r="I83" i="2"/>
  <c r="H83" i="2"/>
  <c r="M83" i="2"/>
  <c r="G83" i="2"/>
  <c r="J80" i="2" l="1"/>
  <c r="J82" i="2" s="1"/>
  <c r="J86" i="2" s="1"/>
  <c r="J76" i="2"/>
  <c r="J77" i="2" s="1"/>
  <c r="J78" i="2" s="1"/>
  <c r="K84" i="2"/>
  <c r="K74" i="2"/>
  <c r="K72" i="2"/>
  <c r="L67" i="2"/>
  <c r="L84" i="2" s="1"/>
  <c r="F84" i="2"/>
  <c r="I80" i="2"/>
  <c r="I76" i="2"/>
  <c r="H73" i="2"/>
  <c r="H76" i="2" s="1"/>
  <c r="H77" i="2" s="1"/>
  <c r="H78" i="2" s="1"/>
  <c r="G73" i="2"/>
  <c r="G76" i="2" s="1"/>
  <c r="G77" i="2" s="1"/>
  <c r="G78" i="2" s="1"/>
  <c r="L69" i="2"/>
  <c r="L72" i="2" s="1"/>
  <c r="F69" i="2"/>
  <c r="F72" i="2" s="1"/>
  <c r="I72" i="2"/>
  <c r="I79" i="2"/>
  <c r="M73" i="2"/>
  <c r="M76" i="2" s="1"/>
  <c r="M77" i="2" s="1"/>
  <c r="M78" i="2" s="1"/>
  <c r="J87" i="2" l="1"/>
  <c r="K76" i="2"/>
  <c r="K77" i="2" s="1"/>
  <c r="K78" i="2" s="1"/>
  <c r="K80" i="2"/>
  <c r="K82" i="2" s="1"/>
  <c r="I82" i="2"/>
  <c r="I77" i="2"/>
  <c r="I78" i="2" s="1"/>
  <c r="H79" i="2"/>
  <c r="H82" i="2" s="1"/>
  <c r="G79" i="2"/>
  <c r="G82" i="2" s="1"/>
  <c r="M79" i="2"/>
  <c r="M82" i="2" s="1"/>
  <c r="F73" i="2"/>
  <c r="F76" i="2" s="1"/>
  <c r="F77" i="2" s="1"/>
  <c r="F78" i="2" s="1"/>
  <c r="L73" i="2"/>
  <c r="L76" i="2" s="1"/>
  <c r="L77" i="2" s="1"/>
  <c r="L78" i="2" s="1"/>
  <c r="R8" i="2" l="1"/>
  <c r="S8" i="2" s="1"/>
  <c r="J89" i="2"/>
  <c r="J88" i="2"/>
  <c r="K86" i="2"/>
  <c r="K87" i="2" s="1"/>
  <c r="H86" i="2"/>
  <c r="H87" i="2" s="1"/>
  <c r="H88" i="2" s="1"/>
  <c r="G86" i="2"/>
  <c r="G87" i="2" s="1"/>
  <c r="G88" i="2" s="1"/>
  <c r="M86" i="2"/>
  <c r="M87" i="2" s="1"/>
  <c r="M88" i="2" s="1"/>
  <c r="I86" i="2"/>
  <c r="L79" i="2"/>
  <c r="L82" i="2" s="1"/>
  <c r="F79" i="2"/>
  <c r="F82" i="2" s="1"/>
  <c r="F17" i="1"/>
  <c r="R9" i="2" l="1"/>
  <c r="S9" i="2" s="1"/>
  <c r="K88" i="2"/>
  <c r="K89" i="2"/>
  <c r="I87" i="2"/>
  <c r="I88" i="2" s="1"/>
  <c r="F86" i="2"/>
  <c r="F87" i="2" s="1"/>
  <c r="F88" i="2" s="1"/>
  <c r="H89" i="2"/>
  <c r="R6" i="2"/>
  <c r="S6" i="2" s="1"/>
  <c r="G89" i="2"/>
  <c r="M89" i="2"/>
  <c r="L86" i="2"/>
  <c r="L87" i="2" s="1"/>
  <c r="L88" i="2" s="1"/>
  <c r="I89" i="2" l="1"/>
  <c r="F89" i="2"/>
  <c r="R11" i="2"/>
  <c r="S11" i="2" s="1"/>
  <c r="R4" i="2"/>
  <c r="S4" i="2" s="1"/>
  <c r="R5" i="2"/>
  <c r="S5" i="2" s="1"/>
  <c r="L89" i="2"/>
  <c r="R7" i="2"/>
  <c r="S7" i="2" s="1"/>
  <c r="N53" i="1"/>
  <c r="N52" i="1"/>
  <c r="R10" i="2" l="1"/>
  <c r="S10" i="2" s="1"/>
  <c r="G33" i="1"/>
  <c r="H33" i="1"/>
  <c r="I33" i="1"/>
  <c r="L33" i="1"/>
  <c r="M33" i="1"/>
  <c r="F33" i="1"/>
  <c r="I48" i="1" l="1"/>
  <c r="L48" i="1"/>
  <c r="M48" i="1"/>
  <c r="I49" i="1"/>
  <c r="L49" i="1"/>
  <c r="M49" i="1"/>
  <c r="I50" i="1"/>
  <c r="L50" i="1"/>
  <c r="M50" i="1"/>
  <c r="I51" i="1"/>
  <c r="L51" i="1"/>
  <c r="M51" i="1"/>
  <c r="M47" i="1"/>
  <c r="L47" i="1"/>
  <c r="I47" i="1"/>
  <c r="M27" i="1" l="1"/>
  <c r="L27" i="1"/>
  <c r="I27" i="1"/>
  <c r="H27" i="1" l="1"/>
  <c r="H51" i="1"/>
  <c r="H50" i="1"/>
  <c r="H49" i="1"/>
  <c r="H48" i="1"/>
  <c r="H47" i="1"/>
  <c r="H53" i="1" l="1"/>
  <c r="H29" i="1"/>
  <c r="H31" i="1" s="1"/>
  <c r="E35" i="1" l="1"/>
  <c r="E36" i="1"/>
  <c r="E37" i="1"/>
  <c r="E38" i="1"/>
  <c r="E39" i="1"/>
  <c r="E40" i="1"/>
  <c r="E41" i="1"/>
  <c r="E42" i="1"/>
  <c r="E43" i="1"/>
  <c r="E44" i="1"/>
  <c r="E45" i="1"/>
  <c r="E34" i="1"/>
  <c r="G37" i="1" l="1"/>
  <c r="F37" i="1"/>
  <c r="I37" i="1"/>
  <c r="J37" i="1"/>
  <c r="K37" i="1"/>
  <c r="L37" i="1"/>
  <c r="M37" i="1"/>
  <c r="H37" i="1"/>
  <c r="G45" i="1"/>
  <c r="I45" i="1"/>
  <c r="J45" i="1"/>
  <c r="K45" i="1"/>
  <c r="H45" i="1"/>
  <c r="L45" i="1"/>
  <c r="M45" i="1"/>
  <c r="F45" i="1"/>
  <c r="F43" i="1"/>
  <c r="I43" i="1"/>
  <c r="J43" i="1"/>
  <c r="K43" i="1"/>
  <c r="M43" i="1"/>
  <c r="L43" i="1"/>
  <c r="G43" i="1"/>
  <c r="H43" i="1"/>
  <c r="H41" i="1"/>
  <c r="I41" i="1"/>
  <c r="J41" i="1"/>
  <c r="K41" i="1"/>
  <c r="L41" i="1"/>
  <c r="M41" i="1"/>
  <c r="F41" i="1"/>
  <c r="G41" i="1"/>
  <c r="F36" i="1"/>
  <c r="G36" i="1"/>
  <c r="H36" i="1"/>
  <c r="I36" i="1"/>
  <c r="J36" i="1"/>
  <c r="K36" i="1"/>
  <c r="L36" i="1"/>
  <c r="M36" i="1"/>
  <c r="F34" i="1"/>
  <c r="H34" i="1"/>
  <c r="G34" i="1"/>
  <c r="I34" i="1"/>
  <c r="M34" i="1"/>
  <c r="J34" i="1"/>
  <c r="J52" i="1" s="1"/>
  <c r="K34" i="1"/>
  <c r="K52" i="1" s="1"/>
  <c r="L34" i="1"/>
  <c r="F44" i="1"/>
  <c r="G44" i="1"/>
  <c r="H44" i="1"/>
  <c r="I44" i="1"/>
  <c r="J44" i="1"/>
  <c r="K44" i="1"/>
  <c r="L44" i="1"/>
  <c r="M44" i="1"/>
  <c r="G42" i="1"/>
  <c r="F42" i="1"/>
  <c r="H42" i="1"/>
  <c r="J42" i="1"/>
  <c r="I42" i="1"/>
  <c r="L42" i="1"/>
  <c r="M42" i="1"/>
  <c r="K42" i="1"/>
  <c r="F40" i="1"/>
  <c r="G40" i="1"/>
  <c r="H40" i="1"/>
  <c r="L40" i="1"/>
  <c r="M40" i="1"/>
  <c r="I40" i="1"/>
  <c r="J40" i="1"/>
  <c r="K40" i="1"/>
  <c r="I39" i="1"/>
  <c r="J39" i="1"/>
  <c r="H39" i="1"/>
  <c r="K39" i="1"/>
  <c r="M39" i="1"/>
  <c r="L39" i="1"/>
  <c r="F39" i="1"/>
  <c r="G39" i="1"/>
  <c r="M38" i="1"/>
  <c r="G38" i="1"/>
  <c r="F38" i="1"/>
  <c r="H38" i="1"/>
  <c r="J38" i="1"/>
  <c r="I38" i="1"/>
  <c r="K38" i="1"/>
  <c r="L38" i="1"/>
  <c r="H35" i="1"/>
  <c r="F35" i="1"/>
  <c r="G35" i="1"/>
  <c r="I35" i="1"/>
  <c r="J35" i="1"/>
  <c r="K35" i="1"/>
  <c r="L35" i="1"/>
  <c r="M35" i="1"/>
  <c r="H52" i="1" l="1"/>
  <c r="H54" i="1" s="1"/>
  <c r="K57" i="1"/>
  <c r="K54" i="1"/>
  <c r="K71" i="1" s="1"/>
  <c r="J57" i="1"/>
  <c r="J54" i="1"/>
  <c r="J71" i="1" s="1"/>
  <c r="H71" i="1"/>
  <c r="J59" i="1" l="1"/>
  <c r="J61" i="1"/>
  <c r="K61" i="1"/>
  <c r="K63" i="1" s="1"/>
  <c r="K59" i="1"/>
  <c r="F49" i="1"/>
  <c r="G49" i="1"/>
  <c r="F50" i="1"/>
  <c r="G50" i="1"/>
  <c r="F51" i="1"/>
  <c r="G51" i="1"/>
  <c r="K67" i="1" l="1"/>
  <c r="K69" i="1" s="1"/>
  <c r="K73" i="1" s="1"/>
  <c r="J63" i="1"/>
  <c r="J67" i="1"/>
  <c r="J69" i="1" s="1"/>
  <c r="F52" i="1"/>
  <c r="J73" i="1" l="1"/>
  <c r="F27" i="1"/>
  <c r="G27" i="1"/>
  <c r="G47" i="1" l="1"/>
  <c r="G48" i="1"/>
  <c r="F48" i="1"/>
  <c r="F47" i="1"/>
  <c r="I53" i="1" l="1"/>
  <c r="G53" i="1"/>
  <c r="L53" i="1"/>
  <c r="M53" i="1"/>
  <c r="F53" i="1"/>
  <c r="G52" i="1"/>
  <c r="M52" i="1" l="1"/>
  <c r="L52" i="1"/>
  <c r="I52" i="1"/>
  <c r="I29" i="1" l="1"/>
  <c r="L29" i="1"/>
  <c r="L31" i="1" l="1"/>
  <c r="L54" i="1" s="1"/>
  <c r="I31" i="1"/>
  <c r="I54" i="1" s="1"/>
  <c r="M29" i="1"/>
  <c r="H28" i="1" l="1"/>
  <c r="M28" i="1"/>
  <c r="L28" i="1"/>
  <c r="I28" i="1"/>
  <c r="I71" i="1"/>
  <c r="L71" i="1"/>
  <c r="M31" i="1"/>
  <c r="M54" i="1" s="1"/>
  <c r="M71" i="1" s="1"/>
  <c r="G28" i="1"/>
  <c r="F28" i="1"/>
  <c r="N68" i="1"/>
  <c r="N67" i="1"/>
  <c r="G29" i="1"/>
  <c r="F29" i="1"/>
  <c r="G31" i="1" l="1"/>
  <c r="G54" i="1" s="1"/>
  <c r="F31" i="1"/>
  <c r="F54" i="1" s="1"/>
  <c r="F71" i="1" s="1"/>
  <c r="G71" i="1" l="1"/>
  <c r="N15" i="1" l="1"/>
  <c r="N14" i="1"/>
  <c r="N27" i="1" l="1"/>
  <c r="N31" i="1" s="1"/>
  <c r="N54" i="1" s="1"/>
  <c r="N64" i="1" s="1"/>
  <c r="N66" i="1" l="1"/>
  <c r="N69" i="1" s="1"/>
  <c r="H57" i="1"/>
  <c r="M57" i="1"/>
  <c r="I57" i="1"/>
  <c r="G57" i="1"/>
  <c r="G61" i="1" s="1"/>
  <c r="G67" i="1" s="1"/>
  <c r="F57" i="1"/>
  <c r="L57" i="1"/>
  <c r="L61" i="1" s="1"/>
  <c r="L67" i="1" s="1"/>
  <c r="H58" i="1"/>
  <c r="H62" i="1" s="1"/>
  <c r="H68" i="1" s="1"/>
  <c r="G58" i="1"/>
  <c r="F58" i="1"/>
  <c r="F62" i="1" s="1"/>
  <c r="F68" i="1" s="1"/>
  <c r="I58" i="1"/>
  <c r="M58" i="1"/>
  <c r="L58" i="1"/>
  <c r="H56" i="1"/>
  <c r="H60" i="1" s="1"/>
  <c r="H66" i="1" s="1"/>
  <c r="I56" i="1"/>
  <c r="M56" i="1"/>
  <c r="F56" i="1"/>
  <c r="G56" i="1"/>
  <c r="L56" i="1"/>
  <c r="G70" i="1" l="1"/>
  <c r="J70" i="1"/>
  <c r="J74" i="1" s="1"/>
  <c r="R71" i="1" s="1"/>
  <c r="S71" i="1" s="1"/>
  <c r="K70" i="1"/>
  <c r="K74" i="1" s="1"/>
  <c r="R72" i="1" s="1"/>
  <c r="S72" i="1" s="1"/>
  <c r="F70" i="1"/>
  <c r="H70" i="1"/>
  <c r="I70" i="1"/>
  <c r="L70" i="1"/>
  <c r="M70" i="1"/>
  <c r="L59" i="1"/>
  <c r="L60" i="1"/>
  <c r="G60" i="1"/>
  <c r="G66" i="1" s="1"/>
  <c r="G59" i="1"/>
  <c r="I61" i="1"/>
  <c r="I67" i="1" s="1"/>
  <c r="I59" i="1"/>
  <c r="I60" i="1"/>
  <c r="I62" i="1"/>
  <c r="I68" i="1" s="1"/>
  <c r="L62" i="1"/>
  <c r="L68" i="1" s="1"/>
  <c r="M61" i="1"/>
  <c r="M67" i="1" s="1"/>
  <c r="F59" i="1"/>
  <c r="F60" i="1"/>
  <c r="F66" i="1" s="1"/>
  <c r="G62" i="1"/>
  <c r="G68" i="1" s="1"/>
  <c r="M59" i="1"/>
  <c r="M60" i="1"/>
  <c r="M66" i="1" s="1"/>
  <c r="M62" i="1"/>
  <c r="M68" i="1" s="1"/>
  <c r="F61" i="1"/>
  <c r="F67" i="1" s="1"/>
  <c r="H59" i="1"/>
  <c r="H61" i="1"/>
  <c r="H63" i="1" s="1"/>
  <c r="J75" i="1" l="1"/>
  <c r="J76" i="1"/>
  <c r="K75" i="1"/>
  <c r="K76" i="1"/>
  <c r="H67" i="1"/>
  <c r="H69" i="1" s="1"/>
  <c r="H73" i="1" s="1"/>
  <c r="G69" i="1"/>
  <c r="G73" i="1" s="1"/>
  <c r="G74" i="1" s="1"/>
  <c r="G75" i="1" s="1"/>
  <c r="I63" i="1"/>
  <c r="I64" i="1" s="1"/>
  <c r="I65" i="1" s="1"/>
  <c r="M63" i="1"/>
  <c r="M64" i="1" s="1"/>
  <c r="M65" i="1" s="1"/>
  <c r="M69" i="1"/>
  <c r="F69" i="1"/>
  <c r="H64" i="1"/>
  <c r="H65" i="1" s="1"/>
  <c r="F63" i="1"/>
  <c r="F64" i="1" s="1"/>
  <c r="F65" i="1" s="1"/>
  <c r="L66" i="1"/>
  <c r="L69" i="1" s="1"/>
  <c r="L63" i="1"/>
  <c r="L64" i="1" s="1"/>
  <c r="L65" i="1" s="1"/>
  <c r="I66" i="1"/>
  <c r="I69" i="1" s="1"/>
  <c r="G63" i="1"/>
  <c r="G64" i="1" s="1"/>
  <c r="G65" i="1" s="1"/>
  <c r="H74" i="1" l="1"/>
  <c r="H75" i="1" s="1"/>
  <c r="R68" i="1"/>
  <c r="S68" i="1" s="1"/>
  <c r="G76" i="1"/>
  <c r="I73" i="1"/>
  <c r="I74" i="1" s="1"/>
  <c r="I75" i="1" s="1"/>
  <c r="F73" i="1"/>
  <c r="F74" i="1" s="1"/>
  <c r="F75" i="1" s="1"/>
  <c r="L73" i="1"/>
  <c r="L74" i="1" s="1"/>
  <c r="L75" i="1" s="1"/>
  <c r="M73" i="1"/>
  <c r="M74" i="1" s="1"/>
  <c r="M75" i="1" s="1"/>
  <c r="H76" i="1" l="1"/>
  <c r="R69" i="1"/>
  <c r="S69" i="1" s="1"/>
  <c r="R74" i="1"/>
  <c r="S74" i="1" s="1"/>
  <c r="M76" i="1"/>
  <c r="R70" i="1"/>
  <c r="S70" i="1" s="1"/>
  <c r="I76" i="1"/>
  <c r="R73" i="1"/>
  <c r="S73" i="1" s="1"/>
  <c r="L76" i="1"/>
  <c r="F76" i="1"/>
  <c r="R67" i="1"/>
  <c r="S67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B13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 xml:space="preserve">In minutes
</t>
        </r>
      </text>
    </comment>
    <comment ref="C13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 xml:space="preserve">In minutes
</t>
        </r>
      </text>
    </comment>
    <comment ref="E13" authorId="0" shapeId="0" xr:uid="{00000000-0006-0000-0000-000003000000}">
      <text>
        <r>
          <rPr>
            <b/>
            <sz val="9"/>
            <color indexed="81"/>
            <rFont val="Tahoma"/>
            <family val="2"/>
          </rPr>
          <t>* $/minute</t>
        </r>
      </text>
    </comment>
    <comment ref="F13" authorId="0" shapeId="0" xr:uid="{1D1FD89C-FE81-4D22-AF88-F69F331324DF}">
      <text>
        <r>
          <rPr>
            <b/>
            <sz val="9"/>
            <color indexed="81"/>
            <rFont val="Tahoma"/>
            <family val="2"/>
          </rPr>
          <t>Insert quantities here and it will update them everywhere else</t>
        </r>
      </text>
    </comment>
    <comment ref="N29" authorId="0" shapeId="0" xr:uid="{00000000-0006-0000-0000-000005000000}">
      <text>
        <r>
          <rPr>
            <b/>
            <sz val="9"/>
            <color indexed="81"/>
            <rFont val="Tahoma"/>
            <family val="2"/>
          </rPr>
          <t>Used to contain burdened set-up price. No longer used in Amortized calculation. 
To add it back to the calculation add this value to cell L29</t>
        </r>
      </text>
    </comment>
    <comment ref="N33" authorId="0" shapeId="0" xr:uid="{5F0F7765-8512-4C18-8B0A-77C56158A497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Amortizes the matl burden row over the quantity of each column</t>
        </r>
      </text>
    </comment>
    <comment ref="B54" authorId="0" shapeId="0" xr:uid="{00000000-0006-0000-0000-000006000000}">
      <text>
        <r>
          <rPr>
            <b/>
            <sz val="9"/>
            <color indexed="81"/>
            <rFont val="Tahoma"/>
            <family val="2"/>
          </rPr>
          <t xml:space="preserve">sum of matl, processes, and labor costs.
</t>
        </r>
      </text>
    </comment>
    <comment ref="N69" authorId="0" shapeId="0" xr:uid="{00000000-0006-0000-0000-000007000000}">
      <text>
        <r>
          <rPr>
            <b/>
            <sz val="9"/>
            <color indexed="81"/>
            <rFont val="Tahoma"/>
            <family val="2"/>
          </rPr>
          <t>Used for amortized calculation.
Amortized amount is this cell divided by the quantity of the column.</t>
        </r>
      </text>
    </comment>
    <comment ref="D72" authorId="0" shapeId="0" xr:uid="{00000000-0006-0000-0000-000008000000}">
      <text>
        <r>
          <rPr>
            <b/>
            <sz val="9"/>
            <color indexed="81"/>
            <rFont val="Tahoma"/>
            <family val="2"/>
          </rPr>
          <t>Flat amount, not affected by margin, G&amp;A, etc.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B13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 xml:space="preserve">In minutes
</t>
        </r>
      </text>
    </comment>
    <comment ref="C13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 xml:space="preserve">In minutes
</t>
        </r>
      </text>
    </comment>
    <comment ref="E13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 xml:space="preserve">* $/minute
</t>
        </r>
      </text>
    </comment>
    <comment ref="F13" authorId="0" shapeId="0" xr:uid="{DD864CC8-A0A3-4CAA-A434-FBB1791D6C97}">
      <text>
        <r>
          <rPr>
            <b/>
            <sz val="9"/>
            <color indexed="81"/>
            <rFont val="Tahoma"/>
            <family val="2"/>
          </rPr>
          <t>Insert quantities here and it will update them everywhere else</t>
        </r>
      </text>
    </comment>
    <comment ref="A14" authorId="0" shapeId="0" xr:uid="{00000000-0006-0000-0100-000005000000}">
      <text>
        <r>
          <rPr>
            <sz val="9"/>
            <color indexed="81"/>
            <rFont val="Tahoma"/>
            <family val="2"/>
          </rPr>
          <t>Time req'd by Supervisor/ Engineering.
Amortized rather than applying burden/markup</t>
        </r>
      </text>
    </comment>
    <comment ref="N42" authorId="0" shapeId="0" xr:uid="{00000000-0006-0000-0100-000006000000}">
      <text>
        <r>
          <rPr>
            <b/>
            <sz val="9"/>
            <color indexed="81"/>
            <rFont val="Tahoma"/>
            <family val="2"/>
          </rPr>
          <t>Used to contain burdened set-up price. No longer used in Amortized calculation. 
To add it back to the calculation add this value to cell L29</t>
        </r>
      </text>
    </comment>
    <comment ref="B67" authorId="0" shapeId="0" xr:uid="{00000000-0006-0000-0100-000007000000}">
      <text>
        <r>
          <rPr>
            <b/>
            <sz val="9"/>
            <color indexed="81"/>
            <rFont val="Tahoma"/>
            <family val="2"/>
          </rPr>
          <t xml:space="preserve">sum of matl, processes, and labor costs w/ yield factored in
</t>
        </r>
      </text>
    </comment>
    <comment ref="N82" authorId="0" shapeId="0" xr:uid="{00000000-0006-0000-0100-000008000000}">
      <text>
        <r>
          <rPr>
            <b/>
            <sz val="9"/>
            <color indexed="81"/>
            <rFont val="Tahoma"/>
            <family val="2"/>
          </rPr>
          <t>Used for amortized calculation.
Amortized amount is this cell divided by the quantity of the column.</t>
        </r>
      </text>
    </comment>
    <comment ref="D85" authorId="0" shapeId="0" xr:uid="{00000000-0006-0000-0100-000009000000}">
      <text>
        <r>
          <rPr>
            <b/>
            <sz val="9"/>
            <color indexed="81"/>
            <rFont val="Tahoma"/>
            <family val="2"/>
          </rPr>
          <t>Flat amount, not affected by margin, G&amp;A, etc.</t>
        </r>
      </text>
    </comment>
  </commentList>
</comments>
</file>

<file path=xl/sharedStrings.xml><?xml version="1.0" encoding="utf-8"?>
<sst xmlns="http://schemas.openxmlformats.org/spreadsheetml/2006/main" count="235" uniqueCount="141">
  <si>
    <t>COST ESTIMATED QUANTITIES</t>
  </si>
  <si>
    <t>LABOR RATE</t>
  </si>
  <si>
    <t>Labor</t>
  </si>
  <si>
    <t>T. setup</t>
  </si>
  <si>
    <t>T.RUN</t>
  </si>
  <si>
    <t>Basic LABOR</t>
  </si>
  <si>
    <t>hrs</t>
  </si>
  <si>
    <t>BURDEN</t>
  </si>
  <si>
    <t>Total</t>
  </si>
  <si>
    <t>RAW MATERIALS &amp; HARDWARE</t>
  </si>
  <si>
    <t>PROCESSES</t>
  </si>
  <si>
    <t>SET-UP TIME</t>
  </si>
  <si>
    <t>RUN TIME</t>
  </si>
  <si>
    <t>PARTS QTY</t>
  </si>
  <si>
    <t>UNIT PRICE</t>
  </si>
  <si>
    <t>MAT'l BURDEN</t>
  </si>
  <si>
    <t>MATERIAL &amp; HARDWARE TOTAL</t>
  </si>
  <si>
    <t>PROCESSES TOTAL</t>
  </si>
  <si>
    <t>M+L Subtotal</t>
  </si>
  <si>
    <t>LABOR  G&amp;A</t>
  </si>
  <si>
    <t>SUBTOTAL</t>
  </si>
  <si>
    <t>LABOR PROFIT</t>
  </si>
  <si>
    <t>MARGIN</t>
  </si>
  <si>
    <t>MAT'ls &amp;HARDWARE G&amp;A</t>
  </si>
  <si>
    <t>CUSTOMER:</t>
  </si>
  <si>
    <t>REV:</t>
  </si>
  <si>
    <t>P/N:</t>
  </si>
  <si>
    <t>QUOTE LOG No.:</t>
  </si>
  <si>
    <t>QTY:</t>
  </si>
  <si>
    <t>DATE:</t>
  </si>
  <si>
    <t>ESTIMATOR:</t>
  </si>
  <si>
    <t>NRE/SET-UP</t>
  </si>
  <si>
    <t>SETUP $</t>
  </si>
  <si>
    <t>RUN$ EA.</t>
  </si>
  <si>
    <t>LABOR</t>
  </si>
  <si>
    <t xml:space="preserve">MAT'ls &amp;HARDWARE </t>
  </si>
  <si>
    <t xml:space="preserve"> PROCESS </t>
  </si>
  <si>
    <t>NSN #:</t>
  </si>
  <si>
    <t>SOL #:</t>
  </si>
  <si>
    <t>RFQ #:</t>
  </si>
  <si>
    <t>AMORTIZED</t>
  </si>
  <si>
    <t>QTY</t>
  </si>
  <si>
    <t>Subtotal</t>
  </si>
  <si>
    <t>MANUFACTURING OPERATIONS</t>
  </si>
  <si>
    <t>Facilities</t>
  </si>
  <si>
    <t>REFERENCE</t>
  </si>
  <si>
    <t>MAT'ls &amp;HARDWARE PROFIT</t>
  </si>
  <si>
    <t>PROCESS PROFIT</t>
  </si>
  <si>
    <t>PROCESS G&amp;A</t>
  </si>
  <si>
    <t>Mill/Turn</t>
  </si>
  <si>
    <t>Total Value</t>
  </si>
  <si>
    <t>Unit</t>
  </si>
  <si>
    <t>Ext. Cost</t>
  </si>
  <si>
    <t>Mold/Tooling</t>
  </si>
  <si>
    <t>Calendering</t>
  </si>
  <si>
    <t>Fabric Priming</t>
  </si>
  <si>
    <t>Hand Cutting</t>
  </si>
  <si>
    <t>CNC Cutting (Gunnar)</t>
  </si>
  <si>
    <t>Extruding</t>
  </si>
  <si>
    <t>Insert Prep (Sand/Degrease/Prime)</t>
  </si>
  <si>
    <t>Deflash/Trim</t>
  </si>
  <si>
    <t>Press Setup</t>
  </si>
  <si>
    <t>Layup</t>
  </si>
  <si>
    <t>Cure</t>
  </si>
  <si>
    <t>Detool + Chilling</t>
  </si>
  <si>
    <t>Fixtures</t>
  </si>
  <si>
    <t>Testing</t>
  </si>
  <si>
    <t>Quality</t>
  </si>
  <si>
    <t>Burn Holes</t>
  </si>
  <si>
    <t>Heat Seal</t>
  </si>
  <si>
    <t>Loading</t>
  </si>
  <si>
    <t>Complexity:</t>
  </si>
  <si>
    <t>Comments:</t>
  </si>
  <si>
    <t>Notes</t>
  </si>
  <si>
    <t>1 - Easy</t>
  </si>
  <si>
    <t>5 - Difficult</t>
  </si>
  <si>
    <t>3 - Moderate</t>
  </si>
  <si>
    <t># of Cavities:</t>
  </si>
  <si>
    <t>Yield %:</t>
  </si>
  <si>
    <t>Die Punch</t>
  </si>
  <si>
    <t>Milling</t>
  </si>
  <si>
    <t>Amortize/Min Buy</t>
  </si>
  <si>
    <t>Fixtures (Purchase)</t>
  </si>
  <si>
    <t>Amortize?</t>
  </si>
  <si>
    <t>Tooling Markup:</t>
  </si>
  <si>
    <t>Quantities</t>
  </si>
  <si>
    <t>Admin/Setup</t>
  </si>
  <si>
    <t>Waterjet - Setup</t>
  </si>
  <si>
    <t>Waterjet - Operator</t>
  </si>
  <si>
    <t>Bond Room</t>
  </si>
  <si>
    <t>Splicing</t>
  </si>
  <si>
    <t>YEAR:</t>
  </si>
  <si>
    <t>Rate lookup value:</t>
  </si>
  <si>
    <t>Misc values:</t>
  </si>
  <si>
    <t>Program</t>
  </si>
  <si>
    <t>Rate lookup value</t>
  </si>
  <si>
    <t>Metals - Mills</t>
  </si>
  <si>
    <t>Metals - Lathe</t>
  </si>
  <si>
    <t>Rubber Mold</t>
  </si>
  <si>
    <t>Plastic Injection Mold</t>
  </si>
  <si>
    <t>Plastic Compression Mold</t>
  </si>
  <si>
    <t>Assembly, Die Punch, Deburr</t>
  </si>
  <si>
    <t>Quality Inspection</t>
  </si>
  <si>
    <t>ID &amp; Pack</t>
  </si>
  <si>
    <t>Raw Materials &amp; Hardware</t>
  </si>
  <si>
    <t>Processes</t>
  </si>
  <si>
    <t>Parts QTY</t>
  </si>
  <si>
    <t>Unit Price</t>
  </si>
  <si>
    <t>Matl Burden</t>
  </si>
  <si>
    <t>Setup Time</t>
  </si>
  <si>
    <t>Run Time</t>
  </si>
  <si>
    <t>Labor Rate</t>
  </si>
  <si>
    <t>Labor Rate Year:</t>
  </si>
  <si>
    <t>Matl UoM</t>
  </si>
  <si>
    <t>Rubber Assembly</t>
  </si>
  <si>
    <t>Setup (Supervisor)</t>
  </si>
  <si>
    <t>Sales/Management Markup</t>
  </si>
  <si>
    <t>Material % of Price</t>
  </si>
  <si>
    <t>Gross Margin</t>
  </si>
  <si>
    <t>Yield</t>
  </si>
  <si>
    <t>Sell Price</t>
  </si>
  <si>
    <t>2023</t>
  </si>
  <si>
    <t>OP 2</t>
  </si>
  <si>
    <t>OP 3</t>
  </si>
  <si>
    <t>OP 4</t>
  </si>
  <si>
    <t>OP 6</t>
  </si>
  <si>
    <t>OP 5</t>
  </si>
  <si>
    <t>OP 7</t>
  </si>
  <si>
    <t>OP 8</t>
  </si>
  <si>
    <t>OP 9</t>
  </si>
  <si>
    <t>OP 10</t>
  </si>
  <si>
    <t>OP 11</t>
  </si>
  <si>
    <t>OP 12</t>
  </si>
  <si>
    <t>OP 13</t>
  </si>
  <si>
    <t>Incora</t>
  </si>
  <si>
    <t>SF890051</t>
  </si>
  <si>
    <t>NC</t>
  </si>
  <si>
    <t>JG</t>
  </si>
  <si>
    <t>RM000123</t>
  </si>
  <si>
    <t>LBs</t>
  </si>
  <si>
    <t>7.50 LB Stock/Ref PO 5176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</si>
</sst>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mm/dd/yy;@"/>
    <numFmt numFmtId="165" formatCode="&quot;$&quot;#,##0.00"/>
    <numFmt numFmtId="166" formatCode="0.000"/>
  </numFmts>
  <fonts count="1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8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b/>
      <u/>
      <sz val="10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sz val="8"/>
      <color rgb="FF000000"/>
      <name val="Tahoma"/>
      <family val="2"/>
    </font>
    <font>
      <sz val="10"/>
      <color rgb="FFFFFF00"/>
      <name val="Calibri"/>
      <family val="2"/>
      <scheme val="minor"/>
    </font>
    <font>
      <sz val="10"/>
      <name val="Calibri"/>
      <family val="2"/>
      <scheme val="minor"/>
    </font>
    <font>
      <sz val="1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</fills>
  <borders count="29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dashed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9" fontId="5" fillId="0" borderId="0" applyFont="0" applyFill="0" applyBorder="0" applyAlignment="0" applyProtection="0"/>
  </cellStyleXfs>
  <cellXfs count="262">
    <xf numFmtId="0" fontId="0" fillId="0" borderId="0" xfId="0"/>
    <xf numFmtId="0" fontId="0" fillId="0" borderId="8" xfId="0" applyBorder="1"/>
    <xf numFmtId="0" fontId="0" fillId="0" borderId="2" xfId="0" applyBorder="1"/>
    <xf numFmtId="0" fontId="0" fillId="0" borderId="5" xfId="0" applyBorder="1"/>
    <xf numFmtId="0" fontId="0" fillId="0" borderId="7" xfId="0" applyBorder="1"/>
    <xf numFmtId="0" fontId="2" fillId="0" borderId="2" xfId="0" applyFont="1" applyBorder="1"/>
    <xf numFmtId="0" fontId="2" fillId="0" borderId="3" xfId="0" applyFont="1" applyBorder="1"/>
    <xf numFmtId="0" fontId="2" fillId="0" borderId="0" xfId="0" applyFont="1"/>
    <xf numFmtId="0" fontId="2" fillId="0" borderId="6" xfId="0" applyFont="1" applyBorder="1"/>
    <xf numFmtId="0" fontId="2" fillId="0" borderId="8" xfId="0" applyFont="1" applyBorder="1"/>
    <xf numFmtId="0" fontId="2" fillId="0" borderId="9" xfId="0" applyFont="1" applyBorder="1"/>
    <xf numFmtId="0" fontId="2" fillId="0" borderId="5" xfId="0" applyFont="1" applyBorder="1"/>
    <xf numFmtId="2" fontId="2" fillId="0" borderId="5" xfId="0" applyNumberFormat="1" applyFont="1" applyBorder="1"/>
    <xf numFmtId="2" fontId="2" fillId="0" borderId="12" xfId="0" applyNumberFormat="1" applyFont="1" applyBorder="1"/>
    <xf numFmtId="0" fontId="2" fillId="0" borderId="4" xfId="0" applyFont="1" applyBorder="1" applyAlignment="1">
      <alignment horizontal="right"/>
    </xf>
    <xf numFmtId="2" fontId="2" fillId="0" borderId="3" xfId="0" applyNumberFormat="1" applyFont="1" applyBorder="1"/>
    <xf numFmtId="0" fontId="2" fillId="2" borderId="5" xfId="0" applyFont="1" applyFill="1" applyBorder="1"/>
    <xf numFmtId="0" fontId="2" fillId="2" borderId="0" xfId="0" applyFont="1" applyFill="1"/>
    <xf numFmtId="2" fontId="2" fillId="0" borderId="0" xfId="0" applyNumberFormat="1" applyFont="1"/>
    <xf numFmtId="0" fontId="3" fillId="0" borderId="6" xfId="0" applyFont="1" applyBorder="1"/>
    <xf numFmtId="2" fontId="3" fillId="0" borderId="0" xfId="0" applyNumberFormat="1" applyFont="1"/>
    <xf numFmtId="2" fontId="3" fillId="0" borderId="6" xfId="0" applyNumberFormat="1" applyFont="1" applyBorder="1"/>
    <xf numFmtId="0" fontId="2" fillId="0" borderId="7" xfId="0" applyFont="1" applyBorder="1"/>
    <xf numFmtId="0" fontId="3" fillId="0" borderId="5" xfId="0" applyFont="1" applyBorder="1" applyAlignment="1">
      <alignment horizontal="left"/>
    </xf>
    <xf numFmtId="0" fontId="3" fillId="0" borderId="5" xfId="0" applyFont="1" applyBorder="1" applyAlignment="1">
      <alignment horizontal="right"/>
    </xf>
    <xf numFmtId="0" fontId="3" fillId="0" borderId="2" xfId="0" applyFont="1" applyBorder="1" applyAlignment="1">
      <alignment horizontal="right"/>
    </xf>
    <xf numFmtId="2" fontId="0" fillId="0" borderId="0" xfId="0" applyNumberFormat="1"/>
    <xf numFmtId="9" fontId="4" fillId="0" borderId="0" xfId="0" applyNumberFormat="1" applyFont="1" applyAlignment="1">
      <alignment horizontal="right"/>
    </xf>
    <xf numFmtId="0" fontId="0" fillId="0" borderId="11" xfId="0" applyBorder="1" applyProtection="1">
      <protection locked="0"/>
    </xf>
    <xf numFmtId="0" fontId="0" fillId="0" borderId="12" xfId="0" applyBorder="1" applyProtection="1">
      <protection locked="0"/>
    </xf>
    <xf numFmtId="0" fontId="0" fillId="0" borderId="20" xfId="0" applyBorder="1" applyProtection="1">
      <protection locked="0"/>
    </xf>
    <xf numFmtId="0" fontId="0" fillId="0" borderId="15" xfId="0" applyBorder="1" applyProtection="1">
      <protection locked="0"/>
    </xf>
    <xf numFmtId="0" fontId="0" fillId="0" borderId="0" xfId="0" applyProtection="1">
      <protection locked="0"/>
    </xf>
    <xf numFmtId="2" fontId="2" fillId="0" borderId="12" xfId="0" applyNumberFormat="1" applyFont="1" applyBorder="1" applyProtection="1">
      <protection locked="0"/>
    </xf>
    <xf numFmtId="2" fontId="2" fillId="0" borderId="13" xfId="0" applyNumberFormat="1" applyFont="1" applyBorder="1" applyProtection="1">
      <protection locked="0"/>
    </xf>
    <xf numFmtId="0" fontId="2" fillId="0" borderId="3" xfId="0" applyFont="1" applyBorder="1" applyProtection="1">
      <protection locked="0"/>
    </xf>
    <xf numFmtId="0" fontId="2" fillId="0" borderId="0" xfId="0" applyFont="1" applyProtection="1">
      <protection locked="0"/>
    </xf>
    <xf numFmtId="0" fontId="2" fillId="0" borderId="10" xfId="0" applyFont="1" applyBorder="1" applyProtection="1">
      <protection locked="0"/>
    </xf>
    <xf numFmtId="0" fontId="2" fillId="0" borderId="14" xfId="0" applyFont="1" applyBorder="1" applyProtection="1">
      <protection locked="0"/>
    </xf>
    <xf numFmtId="0" fontId="0" fillId="0" borderId="13" xfId="0" applyBorder="1" applyProtection="1">
      <protection locked="0"/>
    </xf>
    <xf numFmtId="0" fontId="0" fillId="0" borderId="22" xfId="0" applyBorder="1" applyProtection="1">
      <protection locked="0"/>
    </xf>
    <xf numFmtId="0" fontId="0" fillId="0" borderId="23" xfId="0" applyBorder="1" applyProtection="1">
      <protection locked="0"/>
    </xf>
    <xf numFmtId="0" fontId="2" fillId="0" borderId="4" xfId="0" applyFont="1" applyBorder="1" applyProtection="1">
      <protection locked="0"/>
    </xf>
    <xf numFmtId="0" fontId="2" fillId="0" borderId="6" xfId="0" applyFont="1" applyBorder="1" applyProtection="1">
      <protection locked="0"/>
    </xf>
    <xf numFmtId="0" fontId="3" fillId="0" borderId="2" xfId="0" applyFont="1" applyBorder="1" applyAlignment="1">
      <alignment horizontal="left"/>
    </xf>
    <xf numFmtId="1" fontId="2" fillId="0" borderId="5" xfId="0" applyNumberFormat="1" applyFont="1" applyBorder="1" applyProtection="1">
      <protection locked="0" hidden="1"/>
    </xf>
    <xf numFmtId="1" fontId="2" fillId="0" borderId="0" xfId="0" applyNumberFormat="1" applyFont="1" applyProtection="1">
      <protection locked="0"/>
    </xf>
    <xf numFmtId="1" fontId="2" fillId="0" borderId="6" xfId="0" applyNumberFormat="1" applyFont="1" applyBorder="1" applyProtection="1">
      <protection locked="0"/>
    </xf>
    <xf numFmtId="0" fontId="2" fillId="3" borderId="0" xfId="0" applyFont="1" applyFill="1" applyProtection="1">
      <protection locked="0"/>
    </xf>
    <xf numFmtId="0" fontId="2" fillId="3" borderId="10" xfId="0" applyFont="1" applyFill="1" applyBorder="1" applyProtection="1">
      <protection locked="0"/>
    </xf>
    <xf numFmtId="0" fontId="2" fillId="3" borderId="14" xfId="0" applyFont="1" applyFill="1" applyBorder="1" applyProtection="1">
      <protection locked="0"/>
    </xf>
    <xf numFmtId="2" fontId="2" fillId="3" borderId="5" xfId="0" applyNumberFormat="1" applyFont="1" applyFill="1" applyBorder="1"/>
    <xf numFmtId="2" fontId="2" fillId="3" borderId="12" xfId="0" applyNumberFormat="1" applyFont="1" applyFill="1" applyBorder="1"/>
    <xf numFmtId="2" fontId="2" fillId="0" borderId="6" xfId="0" applyNumberFormat="1" applyFont="1" applyBorder="1"/>
    <xf numFmtId="2" fontId="2" fillId="0" borderId="4" xfId="0" applyNumberFormat="1" applyFont="1" applyBorder="1"/>
    <xf numFmtId="0" fontId="3" fillId="0" borderId="0" xfId="0" applyFont="1" applyAlignment="1" applyProtection="1">
      <alignment horizontal="left"/>
      <protection locked="0"/>
    </xf>
    <xf numFmtId="0" fontId="0" fillId="0" borderId="0" xfId="0" applyAlignment="1">
      <alignment horizontal="left"/>
    </xf>
    <xf numFmtId="164" fontId="2" fillId="0" borderId="0" xfId="0" applyNumberFormat="1" applyFont="1" applyAlignment="1" applyProtection="1">
      <alignment horizontal="left"/>
      <protection locked="0"/>
    </xf>
    <xf numFmtId="2" fontId="0" fillId="0" borderId="5" xfId="0" applyNumberFormat="1" applyBorder="1"/>
    <xf numFmtId="2" fontId="2" fillId="0" borderId="11" xfId="0" applyNumberFormat="1" applyFont="1" applyBorder="1"/>
    <xf numFmtId="0" fontId="2" fillId="0" borderId="11" xfId="0" applyFont="1" applyBorder="1"/>
    <xf numFmtId="0" fontId="2" fillId="0" borderId="12" xfId="0" applyFont="1" applyBorder="1"/>
    <xf numFmtId="2" fontId="1" fillId="0" borderId="13" xfId="0" applyNumberFormat="1" applyFont="1" applyBorder="1"/>
    <xf numFmtId="0" fontId="0" fillId="0" borderId="3" xfId="0" applyBorder="1"/>
    <xf numFmtId="0" fontId="0" fillId="0" borderId="0" xfId="0" applyAlignment="1">
      <alignment horizontal="right"/>
    </xf>
    <xf numFmtId="9" fontId="0" fillId="0" borderId="0" xfId="0" applyNumberFormat="1" applyAlignment="1">
      <alignment horizontal="right"/>
    </xf>
    <xf numFmtId="0" fontId="1" fillId="0" borderId="8" xfId="0" applyFont="1" applyBorder="1" applyAlignment="1">
      <alignment horizontal="right"/>
    </xf>
    <xf numFmtId="2" fontId="3" fillId="0" borderId="13" xfId="0" applyNumberFormat="1" applyFont="1" applyBorder="1"/>
    <xf numFmtId="0" fontId="0" fillId="0" borderId="3" xfId="0" applyBorder="1" applyAlignment="1">
      <alignment horizontal="right"/>
    </xf>
    <xf numFmtId="10" fontId="0" fillId="0" borderId="7" xfId="0" applyNumberFormat="1" applyBorder="1"/>
    <xf numFmtId="10" fontId="0" fillId="0" borderId="8" xfId="0" applyNumberFormat="1" applyBorder="1"/>
    <xf numFmtId="10" fontId="0" fillId="0" borderId="9" xfId="0" applyNumberFormat="1" applyBorder="1"/>
    <xf numFmtId="2" fontId="2" fillId="0" borderId="2" xfId="0" applyNumberFormat="1" applyFont="1" applyBorder="1"/>
    <xf numFmtId="2" fontId="0" fillId="0" borderId="12" xfId="0" applyNumberFormat="1" applyBorder="1"/>
    <xf numFmtId="2" fontId="0" fillId="0" borderId="1" xfId="0" applyNumberFormat="1" applyBorder="1"/>
    <xf numFmtId="1" fontId="2" fillId="0" borderId="8" xfId="0" applyNumberFormat="1" applyFont="1" applyBorder="1" applyProtection="1">
      <protection locked="0"/>
    </xf>
    <xf numFmtId="2" fontId="1" fillId="4" borderId="1" xfId="0" applyNumberFormat="1" applyFont="1" applyFill="1" applyBorder="1"/>
    <xf numFmtId="0" fontId="0" fillId="0" borderId="0" xfId="0" applyAlignment="1">
      <alignment horizontal="center"/>
    </xf>
    <xf numFmtId="2" fontId="0" fillId="0" borderId="6" xfId="0" applyNumberFormat="1" applyBorder="1"/>
    <xf numFmtId="0" fontId="0" fillId="0" borderId="13" xfId="0" applyBorder="1"/>
    <xf numFmtId="2" fontId="0" fillId="0" borderId="13" xfId="1" applyNumberFormat="1" applyFont="1" applyBorder="1"/>
    <xf numFmtId="0" fontId="8" fillId="0" borderId="3" xfId="0" applyFont="1" applyBorder="1" applyAlignment="1">
      <alignment horizontal="right"/>
    </xf>
    <xf numFmtId="2" fontId="8" fillId="0" borderId="2" xfId="0" applyNumberFormat="1" applyFont="1" applyBorder="1"/>
    <xf numFmtId="2" fontId="8" fillId="0" borderId="3" xfId="0" applyNumberFormat="1" applyFont="1" applyBorder="1"/>
    <xf numFmtId="2" fontId="8" fillId="0" borderId="4" xfId="0" applyNumberFormat="1" applyFont="1" applyBorder="1"/>
    <xf numFmtId="0" fontId="0" fillId="6" borderId="1" xfId="0" applyFill="1" applyBorder="1"/>
    <xf numFmtId="0" fontId="3" fillId="6" borderId="19" xfId="0" applyFont="1" applyFill="1" applyBorder="1" applyAlignment="1">
      <alignment wrapText="1"/>
    </xf>
    <xf numFmtId="0" fontId="3" fillId="6" borderId="16" xfId="0" applyFont="1" applyFill="1" applyBorder="1" applyAlignment="1">
      <alignment wrapText="1"/>
    </xf>
    <xf numFmtId="0" fontId="2" fillId="6" borderId="16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0" fillId="6" borderId="1" xfId="0" applyFill="1" applyBorder="1" applyProtection="1">
      <protection locked="0"/>
    </xf>
    <xf numFmtId="0" fontId="0" fillId="6" borderId="19" xfId="0" applyFill="1" applyBorder="1" applyProtection="1">
      <protection locked="0"/>
    </xf>
    <xf numFmtId="0" fontId="0" fillId="6" borderId="21" xfId="0" applyFill="1" applyBorder="1" applyProtection="1">
      <protection locked="0"/>
    </xf>
    <xf numFmtId="0" fontId="0" fillId="6" borderId="17" xfId="0" applyFill="1" applyBorder="1" applyProtection="1">
      <protection locked="0"/>
    </xf>
    <xf numFmtId="2" fontId="2" fillId="6" borderId="16" xfId="0" applyNumberFormat="1" applyFont="1" applyFill="1" applyBorder="1" applyProtection="1">
      <protection locked="0"/>
    </xf>
    <xf numFmtId="2" fontId="2" fillId="6" borderId="17" xfId="0" applyNumberFormat="1" applyFont="1" applyFill="1" applyBorder="1" applyProtection="1">
      <protection locked="0"/>
    </xf>
    <xf numFmtId="2" fontId="2" fillId="6" borderId="18" xfId="0" applyNumberFormat="1" applyFont="1" applyFill="1" applyBorder="1" applyProtection="1">
      <protection locked="0"/>
    </xf>
    <xf numFmtId="0" fontId="2" fillId="6" borderId="17" xfId="0" applyFont="1" applyFill="1" applyBorder="1" applyAlignment="1">
      <alignment wrapText="1"/>
    </xf>
    <xf numFmtId="0" fontId="2" fillId="6" borderId="18" xfId="0" applyFont="1" applyFill="1" applyBorder="1"/>
    <xf numFmtId="0" fontId="2" fillId="6" borderId="1" xfId="0" applyFont="1" applyFill="1" applyBorder="1"/>
    <xf numFmtId="0" fontId="2" fillId="6" borderId="1" xfId="0" applyFont="1" applyFill="1" applyBorder="1" applyAlignment="1">
      <alignment wrapText="1"/>
    </xf>
    <xf numFmtId="0" fontId="3" fillId="0" borderId="0" xfId="0" applyFont="1" applyAlignment="1">
      <alignment horizontal="right"/>
    </xf>
    <xf numFmtId="0" fontId="2" fillId="0" borderId="0" xfId="0" applyFont="1" applyAlignment="1">
      <alignment horizontal="right"/>
    </xf>
    <xf numFmtId="0" fontId="3" fillId="0" borderId="0" xfId="0" applyFont="1" applyAlignment="1">
      <alignment horizontal="left"/>
    </xf>
    <xf numFmtId="1" fontId="2" fillId="0" borderId="0" xfId="0" applyNumberFormat="1" applyFont="1" applyProtection="1">
      <protection locked="0" hidden="1"/>
    </xf>
    <xf numFmtId="0" fontId="2" fillId="0" borderId="0" xfId="0" applyFont="1" applyAlignment="1">
      <alignment wrapText="1"/>
    </xf>
    <xf numFmtId="0" fontId="3" fillId="0" borderId="0" xfId="0" applyFont="1" applyAlignment="1">
      <alignment wrapText="1"/>
    </xf>
    <xf numFmtId="2" fontId="2" fillId="0" borderId="0" xfId="0" applyNumberFormat="1" applyFont="1" applyProtection="1">
      <protection locked="0"/>
    </xf>
    <xf numFmtId="2" fontId="1" fillId="0" borderId="0" xfId="0" applyNumberFormat="1" applyFont="1"/>
    <xf numFmtId="0" fontId="0" fillId="5" borderId="0" xfId="0" applyFill="1"/>
    <xf numFmtId="2" fontId="2" fillId="5" borderId="0" xfId="0" applyNumberFormat="1" applyFont="1" applyFill="1"/>
    <xf numFmtId="2" fontId="6" fillId="4" borderId="0" xfId="0" applyNumberFormat="1" applyFont="1" applyFill="1"/>
    <xf numFmtId="9" fontId="2" fillId="0" borderId="0" xfId="0" applyNumberFormat="1" applyFont="1"/>
    <xf numFmtId="0" fontId="0" fillId="6" borderId="16" xfId="0" applyFill="1" applyBorder="1" applyProtection="1">
      <protection locked="0"/>
    </xf>
    <xf numFmtId="2" fontId="2" fillId="6" borderId="1" xfId="0" applyNumberFormat="1" applyFont="1" applyFill="1" applyBorder="1" applyProtection="1">
      <protection locked="0"/>
    </xf>
    <xf numFmtId="0" fontId="0" fillId="0" borderId="5" xfId="0" applyBorder="1" applyAlignment="1" applyProtection="1">
      <alignment vertical="center"/>
      <protection locked="0"/>
    </xf>
    <xf numFmtId="0" fontId="0" fillId="0" borderId="0" xfId="0" applyAlignment="1" applyProtection="1">
      <alignment vertical="center"/>
      <protection locked="0"/>
    </xf>
    <xf numFmtId="2" fontId="2" fillId="0" borderId="5" xfId="0" applyNumberFormat="1" applyFont="1" applyBorder="1" applyProtection="1">
      <protection locked="0"/>
    </xf>
    <xf numFmtId="2" fontId="0" fillId="0" borderId="0" xfId="0" applyNumberFormat="1" applyProtection="1">
      <protection locked="0"/>
    </xf>
    <xf numFmtId="0" fontId="0" fillId="0" borderId="5" xfId="0" applyBorder="1" applyProtection="1">
      <protection locked="0"/>
    </xf>
    <xf numFmtId="0" fontId="2" fillId="0" borderId="12" xfId="0" applyFont="1" applyBorder="1" applyProtection="1">
      <protection locked="0"/>
    </xf>
    <xf numFmtId="0" fontId="2" fillId="0" borderId="13" xfId="0" applyFont="1" applyBorder="1" applyProtection="1">
      <protection locked="0"/>
    </xf>
    <xf numFmtId="0" fontId="2" fillId="0" borderId="7" xfId="0" applyFont="1" applyBorder="1" applyAlignment="1" applyProtection="1">
      <alignment horizontal="right"/>
      <protection locked="0"/>
    </xf>
    <xf numFmtId="0" fontId="2" fillId="0" borderId="8" xfId="0" applyFont="1" applyBorder="1" applyProtection="1">
      <protection locked="0"/>
    </xf>
    <xf numFmtId="165" fontId="0" fillId="0" borderId="15" xfId="0" applyNumberFormat="1" applyBorder="1" applyProtection="1">
      <protection locked="0"/>
    </xf>
    <xf numFmtId="165" fontId="0" fillId="0" borderId="0" xfId="0" applyNumberFormat="1" applyProtection="1">
      <protection locked="0"/>
    </xf>
    <xf numFmtId="165" fontId="0" fillId="0" borderId="0" xfId="1" applyNumberFormat="1" applyFont="1" applyBorder="1" applyProtection="1">
      <protection locked="0"/>
    </xf>
    <xf numFmtId="165" fontId="0" fillId="0" borderId="15" xfId="1" applyNumberFormat="1" applyFont="1" applyBorder="1" applyProtection="1">
      <protection locked="0"/>
    </xf>
    <xf numFmtId="165" fontId="0" fillId="0" borderId="23" xfId="1" applyNumberFormat="1" applyFont="1" applyBorder="1" applyProtection="1">
      <protection locked="0"/>
    </xf>
    <xf numFmtId="165" fontId="0" fillId="0" borderId="8" xfId="1" applyNumberFormat="1" applyFont="1" applyBorder="1" applyProtection="1">
      <protection locked="0"/>
    </xf>
    <xf numFmtId="1" fontId="2" fillId="0" borderId="0" xfId="0" applyNumberFormat="1" applyFont="1" applyAlignment="1" applyProtection="1">
      <alignment horizontal="left"/>
      <protection locked="0"/>
    </xf>
    <xf numFmtId="0" fontId="1" fillId="0" borderId="0" xfId="0" applyFont="1" applyAlignment="1">
      <alignment horizontal="right"/>
    </xf>
    <xf numFmtId="0" fontId="1" fillId="5" borderId="24" xfId="0" applyFont="1" applyFill="1" applyBorder="1" applyAlignment="1" applyProtection="1">
      <alignment horizontal="center"/>
      <protection locked="0"/>
    </xf>
    <xf numFmtId="0" fontId="0" fillId="0" borderId="24" xfId="0" applyBorder="1" applyProtection="1">
      <protection locked="0"/>
    </xf>
    <xf numFmtId="44" fontId="0" fillId="0" borderId="24" xfId="2" applyFont="1" applyBorder="1" applyProtection="1">
      <protection locked="0"/>
    </xf>
    <xf numFmtId="0" fontId="0" fillId="7" borderId="24" xfId="0" applyFill="1" applyBorder="1" applyProtection="1">
      <protection locked="0"/>
    </xf>
    <xf numFmtId="44" fontId="0" fillId="7" borderId="24" xfId="2" applyFont="1" applyFill="1" applyBorder="1" applyProtection="1">
      <protection locked="0"/>
    </xf>
    <xf numFmtId="44" fontId="2" fillId="3" borderId="5" xfId="2" applyFont="1" applyFill="1" applyBorder="1" applyProtection="1"/>
    <xf numFmtId="44" fontId="2" fillId="0" borderId="5" xfId="2" applyFont="1" applyFill="1" applyBorder="1" applyProtection="1"/>
    <xf numFmtId="0" fontId="0" fillId="0" borderId="0" xfId="0" applyAlignment="1" applyProtection="1">
      <alignment horizontal="center" vertical="center"/>
      <protection locked="0"/>
    </xf>
    <xf numFmtId="0" fontId="1" fillId="0" borderId="0" xfId="0" applyFont="1" applyProtection="1">
      <protection locked="0"/>
    </xf>
    <xf numFmtId="0" fontId="3" fillId="0" borderId="2" xfId="0" applyFont="1" applyBorder="1" applyAlignment="1" applyProtection="1">
      <alignment horizontal="right"/>
      <protection locked="0"/>
    </xf>
    <xf numFmtId="0" fontId="3" fillId="0" borderId="5" xfId="0" applyFont="1" applyBorder="1" applyAlignment="1" applyProtection="1">
      <alignment horizontal="right"/>
      <protection locked="0"/>
    </xf>
    <xf numFmtId="0" fontId="0" fillId="0" borderId="0" xfId="0" applyAlignment="1" applyProtection="1">
      <alignment horizontal="left"/>
      <protection locked="0"/>
    </xf>
    <xf numFmtId="1" fontId="2" fillId="0" borderId="6" xfId="0" applyNumberFormat="1" applyFont="1" applyBorder="1" applyAlignment="1" applyProtection="1">
      <alignment horizontal="left"/>
      <protection locked="0"/>
    </xf>
    <xf numFmtId="0" fontId="2" fillId="0" borderId="9" xfId="0" applyFont="1" applyBorder="1" applyProtection="1">
      <protection locked="0"/>
    </xf>
    <xf numFmtId="9" fontId="2" fillId="0" borderId="0" xfId="3" applyFont="1" applyBorder="1" applyProtection="1">
      <protection locked="0"/>
    </xf>
    <xf numFmtId="2" fontId="13" fillId="0" borderId="12" xfId="0" applyNumberFormat="1" applyFont="1" applyBorder="1" applyProtection="1">
      <protection locked="0"/>
    </xf>
    <xf numFmtId="2" fontId="13" fillId="0" borderId="13" xfId="0" applyNumberFormat="1" applyFont="1" applyBorder="1" applyProtection="1">
      <protection locked="0"/>
    </xf>
    <xf numFmtId="0" fontId="0" fillId="6" borderId="18" xfId="0" applyFill="1" applyBorder="1" applyAlignment="1">
      <alignment horizontal="center" wrapText="1"/>
    </xf>
    <xf numFmtId="0" fontId="0" fillId="6" borderId="18" xfId="0" applyFill="1" applyBorder="1" applyAlignment="1">
      <alignment wrapText="1"/>
    </xf>
    <xf numFmtId="0" fontId="15" fillId="3" borderId="14" xfId="0" applyFont="1" applyFill="1" applyBorder="1" applyProtection="1">
      <protection locked="0"/>
    </xf>
    <xf numFmtId="9" fontId="2" fillId="0" borderId="6" xfId="3" applyFont="1" applyBorder="1" applyProtection="1">
      <protection locked="0"/>
    </xf>
    <xf numFmtId="1" fontId="3" fillId="0" borderId="9" xfId="0" applyNumberFormat="1" applyFont="1" applyBorder="1" applyProtection="1">
      <protection locked="0" hidden="1"/>
    </xf>
    <xf numFmtId="0" fontId="2" fillId="0" borderId="4" xfId="0" applyFont="1" applyBorder="1"/>
    <xf numFmtId="0" fontId="16" fillId="0" borderId="0" xfId="0" applyFont="1" applyProtection="1">
      <protection locked="0"/>
    </xf>
    <xf numFmtId="0" fontId="16" fillId="0" borderId="10" xfId="0" applyFont="1" applyBorder="1" applyProtection="1">
      <protection locked="0"/>
    </xf>
    <xf numFmtId="0" fontId="16" fillId="0" borderId="14" xfId="0" applyFont="1" applyBorder="1" applyProtection="1">
      <protection locked="0"/>
    </xf>
    <xf numFmtId="2" fontId="16" fillId="0" borderId="12" xfId="0" applyNumberFormat="1" applyFont="1" applyBorder="1"/>
    <xf numFmtId="1" fontId="2" fillId="0" borderId="0" xfId="0" applyNumberFormat="1" applyFont="1" applyAlignment="1">
      <alignment horizontal="left"/>
    </xf>
    <xf numFmtId="0" fontId="3" fillId="0" borderId="0" xfId="0" applyFont="1" applyAlignment="1" applyProtection="1">
      <alignment horizontal="right"/>
      <protection locked="0"/>
    </xf>
    <xf numFmtId="0" fontId="2" fillId="0" borderId="0" xfId="0" applyFont="1" applyAlignment="1" applyProtection="1">
      <alignment horizontal="right"/>
      <protection locked="0"/>
    </xf>
    <xf numFmtId="0" fontId="2" fillId="0" borderId="0" xfId="0" applyFont="1" applyAlignment="1" applyProtection="1">
      <alignment wrapText="1"/>
      <protection locked="0"/>
    </xf>
    <xf numFmtId="2" fontId="3" fillId="0" borderId="0" xfId="0" applyNumberFormat="1" applyFont="1" applyProtection="1">
      <protection locked="0"/>
    </xf>
    <xf numFmtId="0" fontId="3" fillId="0" borderId="0" xfId="0" applyFont="1" applyAlignment="1" applyProtection="1">
      <alignment wrapText="1"/>
      <protection locked="0"/>
    </xf>
    <xf numFmtId="2" fontId="1" fillId="0" borderId="0" xfId="0" applyNumberFormat="1" applyFont="1" applyProtection="1">
      <protection locked="0"/>
    </xf>
    <xf numFmtId="0" fontId="0" fillId="5" borderId="0" xfId="0" applyFill="1" applyProtection="1">
      <protection locked="0"/>
    </xf>
    <xf numFmtId="2" fontId="2" fillId="5" borderId="0" xfId="0" applyNumberFormat="1" applyFont="1" applyFill="1" applyProtection="1">
      <protection locked="0"/>
    </xf>
    <xf numFmtId="9" fontId="4" fillId="0" borderId="0" xfId="0" applyNumberFormat="1" applyFont="1" applyAlignment="1" applyProtection="1">
      <alignment horizontal="right"/>
      <protection locked="0"/>
    </xf>
    <xf numFmtId="0" fontId="0" fillId="0" borderId="0" xfId="0" applyAlignment="1" applyProtection="1">
      <alignment horizontal="right"/>
      <protection locked="0"/>
    </xf>
    <xf numFmtId="0" fontId="1" fillId="0" borderId="0" xfId="0" applyFont="1" applyAlignment="1" applyProtection="1">
      <alignment horizontal="right"/>
      <protection locked="0"/>
    </xf>
    <xf numFmtId="2" fontId="6" fillId="4" borderId="0" xfId="0" applyNumberFormat="1" applyFont="1" applyFill="1" applyProtection="1">
      <protection locked="0"/>
    </xf>
    <xf numFmtId="49" fontId="2" fillId="0" borderId="0" xfId="0" applyNumberFormat="1" applyFont="1" applyProtection="1">
      <protection locked="0"/>
    </xf>
    <xf numFmtId="49" fontId="0" fillId="0" borderId="0" xfId="0" applyNumberFormat="1" applyProtection="1">
      <protection locked="0"/>
    </xf>
    <xf numFmtId="9" fontId="0" fillId="0" borderId="4" xfId="0" applyNumberFormat="1" applyBorder="1" applyAlignment="1">
      <alignment horizontal="right"/>
    </xf>
    <xf numFmtId="9" fontId="0" fillId="0" borderId="6" xfId="0" applyNumberFormat="1" applyBorder="1" applyAlignment="1">
      <alignment horizontal="right"/>
    </xf>
    <xf numFmtId="49" fontId="0" fillId="0" borderId="0" xfId="0" applyNumberFormat="1"/>
    <xf numFmtId="0" fontId="2" fillId="0" borderId="12" xfId="0" applyFont="1" applyBorder="1" applyAlignment="1">
      <alignment horizontal="fill"/>
    </xf>
    <xf numFmtId="0" fontId="1" fillId="0" borderId="0" xfId="0" applyFont="1"/>
    <xf numFmtId="0" fontId="16" fillId="0" borderId="0" xfId="0" applyFont="1"/>
    <xf numFmtId="49" fontId="2" fillId="0" borderId="0" xfId="0" applyNumberFormat="1" applyFont="1"/>
    <xf numFmtId="0" fontId="2" fillId="0" borderId="0" xfId="0" applyFont="1" applyAlignment="1">
      <alignment horizontal="left"/>
    </xf>
    <xf numFmtId="0" fontId="0" fillId="0" borderId="12" xfId="0" applyBorder="1"/>
    <xf numFmtId="0" fontId="0" fillId="0" borderId="25" xfId="0" applyBorder="1"/>
    <xf numFmtId="0" fontId="0" fillId="0" borderId="8" xfId="0" applyBorder="1" applyAlignment="1">
      <alignment horizontal="right"/>
    </xf>
    <xf numFmtId="2" fontId="0" fillId="0" borderId="6" xfId="1" applyNumberFormat="1" applyFont="1" applyBorder="1"/>
    <xf numFmtId="2" fontId="0" fillId="0" borderId="12" xfId="1" applyNumberFormat="1" applyFont="1" applyBorder="1"/>
    <xf numFmtId="9" fontId="0" fillId="0" borderId="9" xfId="3" applyFont="1" applyBorder="1" applyAlignment="1">
      <alignment horizontal="right"/>
    </xf>
    <xf numFmtId="0" fontId="0" fillId="0" borderId="17" xfId="0" applyBorder="1"/>
    <xf numFmtId="0" fontId="0" fillId="0" borderId="16" xfId="0" applyBorder="1"/>
    <xf numFmtId="0" fontId="0" fillId="0" borderId="9" xfId="0" applyBorder="1"/>
    <xf numFmtId="9" fontId="0" fillId="0" borderId="1" xfId="3" applyFont="1" applyBorder="1" applyAlignment="1">
      <alignment horizontal="right"/>
    </xf>
    <xf numFmtId="9" fontId="0" fillId="0" borderId="1" xfId="3" applyFont="1" applyBorder="1" applyProtection="1">
      <protection locked="0"/>
    </xf>
    <xf numFmtId="0" fontId="2" fillId="0" borderId="0" xfId="0" applyFont="1" applyAlignment="1" applyProtection="1">
      <alignment horizontal="left"/>
      <protection locked="0"/>
    </xf>
    <xf numFmtId="0" fontId="0" fillId="9" borderId="24" xfId="0" applyFill="1" applyBorder="1" applyProtection="1">
      <protection locked="0"/>
    </xf>
    <xf numFmtId="44" fontId="0" fillId="9" borderId="24" xfId="2" applyFont="1" applyFill="1" applyBorder="1" applyProtection="1">
      <protection locked="0"/>
    </xf>
    <xf numFmtId="9" fontId="2" fillId="0" borderId="0" xfId="3" applyFont="1" applyBorder="1" applyAlignment="1" applyProtection="1">
      <alignment horizontal="center"/>
      <protection locked="0"/>
    </xf>
    <xf numFmtId="0" fontId="1" fillId="0" borderId="0" xfId="0" applyFont="1" applyAlignment="1" applyProtection="1">
      <alignment horizontal="center"/>
      <protection locked="0"/>
    </xf>
    <xf numFmtId="166" fontId="0" fillId="0" borderId="0" xfId="0" applyNumberFormat="1" applyProtection="1">
      <protection locked="0"/>
    </xf>
    <xf numFmtId="0" fontId="17" fillId="0" borderId="0" xfId="0" applyFont="1" applyProtection="1">
      <protection locked="0"/>
    </xf>
    <xf numFmtId="0" fontId="2" fillId="0" borderId="12" xfId="0" applyFont="1" applyBorder="1" applyAlignment="1">
      <alignment horizontal="left"/>
    </xf>
    <xf numFmtId="0" fontId="2" fillId="3" borderId="4" xfId="0" applyFont="1" applyFill="1" applyBorder="1" applyAlignment="1">
      <alignment wrapText="1"/>
    </xf>
    <xf numFmtId="1" fontId="0" fillId="7" borderId="24" xfId="0" applyNumberFormat="1" applyFill="1" applyBorder="1" applyProtection="1">
      <protection locked="0"/>
    </xf>
    <xf numFmtId="0" fontId="0" fillId="0" borderId="0" xfId="0" applyAlignment="1">
      <alignment horizontal="right" vertical="center"/>
    </xf>
    <xf numFmtId="0" fontId="0" fillId="0" borderId="6" xfId="0" applyBorder="1" applyAlignment="1">
      <alignment horizontal="right" vertical="center"/>
    </xf>
    <xf numFmtId="0" fontId="2" fillId="0" borderId="5" xfId="0" applyFont="1" applyBorder="1" applyAlignment="1" applyProtection="1">
      <alignment horizontal="left" vertical="top" wrapText="1"/>
      <protection locked="0"/>
    </xf>
    <xf numFmtId="0" fontId="2" fillId="0" borderId="0" xfId="0" applyFont="1" applyAlignment="1" applyProtection="1">
      <alignment horizontal="left" vertical="top" wrapText="1"/>
      <protection locked="0"/>
    </xf>
    <xf numFmtId="0" fontId="2" fillId="0" borderId="6" xfId="0" applyFont="1" applyBorder="1" applyAlignment="1" applyProtection="1">
      <alignment horizontal="left" vertical="top" wrapText="1"/>
      <protection locked="0"/>
    </xf>
    <xf numFmtId="0" fontId="2" fillId="0" borderId="7" xfId="0" applyFont="1" applyBorder="1" applyAlignment="1" applyProtection="1">
      <alignment horizontal="left" vertical="top" wrapText="1"/>
      <protection locked="0"/>
    </xf>
    <xf numFmtId="0" fontId="2" fillId="0" borderId="8" xfId="0" applyFont="1" applyBorder="1" applyAlignment="1" applyProtection="1">
      <alignment horizontal="left" vertical="top" wrapText="1"/>
      <protection locked="0"/>
    </xf>
    <xf numFmtId="0" fontId="2" fillId="0" borderId="9" xfId="0" applyFont="1" applyBorder="1" applyAlignment="1" applyProtection="1">
      <alignment horizontal="left" vertical="top" wrapText="1"/>
      <protection locked="0"/>
    </xf>
    <xf numFmtId="0" fontId="12" fillId="0" borderId="5" xfId="0" applyFont="1" applyBorder="1" applyAlignment="1">
      <alignment horizontal="left"/>
    </xf>
    <xf numFmtId="0" fontId="12" fillId="0" borderId="0" xfId="0" applyFont="1" applyAlignment="1">
      <alignment horizontal="left"/>
    </xf>
    <xf numFmtId="0" fontId="12" fillId="0" borderId="6" xfId="0" applyFont="1" applyBorder="1" applyAlignment="1">
      <alignment horizontal="left"/>
    </xf>
    <xf numFmtId="1" fontId="2" fillId="0" borderId="3" xfId="0" applyNumberFormat="1" applyFont="1" applyBorder="1" applyAlignment="1" applyProtection="1">
      <alignment horizontal="left"/>
      <protection locked="0"/>
    </xf>
    <xf numFmtId="0" fontId="0" fillId="0" borderId="3" xfId="0" applyBorder="1" applyAlignment="1" applyProtection="1">
      <alignment horizontal="left"/>
      <protection locked="0"/>
    </xf>
    <xf numFmtId="0" fontId="0" fillId="0" borderId="3" xfId="0" applyBorder="1" applyAlignment="1">
      <alignment horizontal="right"/>
    </xf>
    <xf numFmtId="0" fontId="0" fillId="0" borderId="4" xfId="0" applyBorder="1" applyAlignment="1">
      <alignment horizontal="right"/>
    </xf>
    <xf numFmtId="0" fontId="0" fillId="0" borderId="0" xfId="0" applyAlignment="1">
      <alignment horizontal="right"/>
    </xf>
    <xf numFmtId="0" fontId="0" fillId="0" borderId="6" xfId="0" applyBorder="1" applyAlignment="1">
      <alignment horizontal="right"/>
    </xf>
    <xf numFmtId="0" fontId="1" fillId="0" borderId="8" xfId="0" applyFont="1" applyBorder="1" applyAlignment="1">
      <alignment horizontal="right"/>
    </xf>
    <xf numFmtId="0" fontId="1" fillId="0" borderId="9" xfId="0" applyFont="1" applyBorder="1" applyAlignment="1">
      <alignment horizontal="right"/>
    </xf>
    <xf numFmtId="1" fontId="2" fillId="0" borderId="0" xfId="0" applyNumberFormat="1" applyFont="1" applyAlignment="1" applyProtection="1">
      <alignment horizontal="left"/>
      <protection locked="0"/>
    </xf>
    <xf numFmtId="1" fontId="4" fillId="0" borderId="0" xfId="0" applyNumberFormat="1" applyFont="1" applyAlignment="1" applyProtection="1">
      <alignment horizontal="left"/>
      <protection locked="0"/>
    </xf>
    <xf numFmtId="0" fontId="9" fillId="5" borderId="26" xfId="0" applyFont="1" applyFill="1" applyBorder="1" applyAlignment="1" applyProtection="1">
      <alignment horizontal="center"/>
      <protection locked="0"/>
    </xf>
    <xf numFmtId="0" fontId="9" fillId="5" borderId="27" xfId="0" applyFont="1" applyFill="1" applyBorder="1" applyAlignment="1" applyProtection="1">
      <alignment horizontal="center"/>
      <protection locked="0"/>
    </xf>
    <xf numFmtId="0" fontId="9" fillId="5" borderId="28" xfId="0" applyFont="1" applyFill="1" applyBorder="1" applyAlignment="1" applyProtection="1">
      <alignment horizontal="center"/>
      <protection locked="0"/>
    </xf>
    <xf numFmtId="0" fontId="1" fillId="4" borderId="0" xfId="0" applyFont="1" applyFill="1" applyAlignment="1" applyProtection="1">
      <alignment horizontal="center"/>
      <protection locked="0"/>
    </xf>
    <xf numFmtId="0" fontId="0" fillId="0" borderId="0" xfId="0" applyAlignment="1" applyProtection="1">
      <alignment horizontal="right"/>
      <protection locked="0"/>
    </xf>
    <xf numFmtId="0" fontId="1" fillId="0" borderId="0" xfId="0" applyFont="1" applyAlignment="1" applyProtection="1">
      <alignment horizontal="right"/>
      <protection locked="0"/>
    </xf>
    <xf numFmtId="0" fontId="0" fillId="0" borderId="0" xfId="0" applyAlignment="1" applyProtection="1">
      <alignment horizontal="right" vertical="center"/>
      <protection locked="0"/>
    </xf>
    <xf numFmtId="0" fontId="1" fillId="4" borderId="7" xfId="0" applyFont="1" applyFill="1" applyBorder="1" applyAlignment="1">
      <alignment horizontal="center"/>
    </xf>
    <xf numFmtId="0" fontId="1" fillId="4" borderId="18" xfId="0" applyFont="1" applyFill="1" applyBorder="1" applyAlignment="1">
      <alignment horizontal="center"/>
    </xf>
    <xf numFmtId="0" fontId="1" fillId="0" borderId="0" xfId="0" applyFont="1" applyAlignment="1">
      <alignment horizontal="right" vertical="center"/>
    </xf>
    <xf numFmtId="0" fontId="1" fillId="0" borderId="6" xfId="0" applyFont="1" applyBorder="1" applyAlignment="1">
      <alignment horizontal="right" vertical="center"/>
    </xf>
    <xf numFmtId="0" fontId="0" fillId="0" borderId="8" xfId="0" applyBorder="1" applyAlignment="1">
      <alignment horizontal="right"/>
    </xf>
    <xf numFmtId="0" fontId="0" fillId="0" borderId="9" xfId="0" applyBorder="1" applyAlignment="1">
      <alignment horizontal="right"/>
    </xf>
    <xf numFmtId="0" fontId="0" fillId="0" borderId="16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8" borderId="1" xfId="0" applyFill="1" applyBorder="1" applyAlignment="1" applyProtection="1">
      <alignment horizontal="center"/>
      <protection locked="0"/>
    </xf>
    <xf numFmtId="0" fontId="1" fillId="0" borderId="0" xfId="0" applyFont="1" applyAlignment="1">
      <alignment horizontal="right"/>
    </xf>
    <xf numFmtId="0" fontId="1" fillId="4" borderId="0" xfId="0" applyFont="1" applyFill="1" applyAlignment="1">
      <alignment horizontal="center"/>
    </xf>
    <xf numFmtId="0" fontId="1" fillId="4" borderId="16" xfId="0" applyFont="1" applyFill="1" applyBorder="1" applyAlignment="1">
      <alignment horizontal="center"/>
    </xf>
    <xf numFmtId="0" fontId="9" fillId="5" borderId="24" xfId="0" applyFont="1" applyFill="1" applyBorder="1" applyAlignment="1" applyProtection="1">
      <alignment horizontal="center"/>
      <protection locked="0"/>
    </xf>
    <xf numFmtId="1" fontId="3" fillId="0" borderId="7" xfId="0" applyNumberFormat="1" applyFont="1" applyBorder="1" applyAlignment="1" applyProtection="1">
      <alignment horizontal="center"/>
      <protection locked="0" hidden="1"/>
    </xf>
    <xf numFmtId="1" fontId="3" fillId="0" borderId="8" xfId="0" applyNumberFormat="1" applyFont="1" applyBorder="1" applyAlignment="1" applyProtection="1">
      <alignment horizontal="center"/>
      <protection locked="0" hidden="1"/>
    </xf>
    <xf numFmtId="0" fontId="2" fillId="0" borderId="0" xfId="0" applyFont="1" applyAlignment="1" applyProtection="1">
      <alignment horizontal="center"/>
      <protection locked="0"/>
    </xf>
    <xf numFmtId="0" fontId="11" fillId="0" borderId="2" xfId="0" applyFont="1" applyBorder="1" applyAlignment="1" applyProtection="1">
      <alignment horizontal="center"/>
      <protection locked="0"/>
    </xf>
    <xf numFmtId="0" fontId="11" fillId="0" borderId="3" xfId="0" applyFont="1" applyBorder="1" applyAlignment="1" applyProtection="1">
      <alignment horizontal="center"/>
      <protection locked="0"/>
    </xf>
    <xf numFmtId="0" fontId="0" fillId="0" borderId="5" xfId="0" applyBorder="1" applyAlignment="1">
      <alignment horizontal="center"/>
    </xf>
    <xf numFmtId="0" fontId="0" fillId="0" borderId="0" xfId="0" applyAlignment="1">
      <alignment horizontal="center"/>
    </xf>
    <xf numFmtId="0" fontId="12" fillId="0" borderId="5" xfId="0" applyFont="1" applyBorder="1" applyAlignment="1">
      <alignment horizontal="center"/>
    </xf>
    <xf numFmtId="0" fontId="12" fillId="0" borderId="0" xfId="0" applyFont="1" applyAlignment="1">
      <alignment horizontal="center"/>
    </xf>
    <xf numFmtId="1" fontId="4" fillId="0" borderId="0" xfId="0" applyNumberFormat="1" applyFont="1" applyAlignment="1">
      <alignment horizontal="left"/>
    </xf>
    <xf numFmtId="0" fontId="2" fillId="10" borderId="1" xfId="0" applyFont="1" applyFill="1" applyBorder="1"/>
    <xf numFmtId="1" fontId="2" fillId="10" borderId="0" xfId="0" applyNumberFormat="1" applyFont="1" applyFill="1" applyAlignment="1" applyProtection="1">
      <alignment horizontal="left"/>
      <protection locked="0"/>
    </xf>
    <xf numFmtId="1" fontId="2" fillId="10" borderId="3" xfId="0" applyNumberFormat="1" applyFont="1" applyFill="1" applyBorder="1" applyAlignment="1" applyProtection="1">
      <alignment horizontal="left"/>
      <protection locked="0"/>
    </xf>
    <xf numFmtId="0" fontId="0" fillId="10" borderId="3" xfId="0" applyFill="1" applyBorder="1" applyAlignment="1">
      <alignment horizontal="left"/>
    </xf>
    <xf numFmtId="0" fontId="0" fillId="10" borderId="20" xfId="0" applyFill="1" applyBorder="1" applyProtection="1">
      <protection locked="0"/>
    </xf>
    <xf numFmtId="165" fontId="0" fillId="10" borderId="15" xfId="0" applyNumberFormat="1" applyFill="1" applyBorder="1" applyProtection="1">
      <protection locked="0"/>
    </xf>
    <xf numFmtId="0" fontId="0" fillId="10" borderId="0" xfId="0" applyFill="1" applyProtection="1">
      <protection locked="0"/>
    </xf>
  </cellXfs>
  <cellStyles count="4">
    <cellStyle name="Comma" xfId="1" builtinId="3"/>
    <cellStyle name="Currency" xfId="2" builtinId="4"/>
    <cellStyle name="Normal" xfId="0" builtinId="0"/>
    <cellStyle name="Percent" xfId="3" builtinId="5"/>
  </cellStyles>
  <dxfs count="2"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trlProps/ctrlProp1.xml><?xml version="1.0" encoding="utf-8"?>
<formControlPr xmlns="http://schemas.microsoft.com/office/spreadsheetml/2009/9/main" objectType="CheckBox" fmlaLink="$N$34" lockText="1" noThreeD="1"/>
</file>

<file path=xl/ctrlProps/ctrlProp2.xml><?xml version="1.0" encoding="utf-8"?>
<formControlPr xmlns="http://schemas.microsoft.com/office/spreadsheetml/2009/9/main" objectType="CheckBox" fmlaLink="$N$35" lockText="1" noThreeD="1"/>
</file>

<file path=xl/ctrlProps/ctrlProp3.xml><?xml version="1.0" encoding="utf-8"?>
<formControlPr xmlns="http://schemas.microsoft.com/office/spreadsheetml/2009/9/main" objectType="CheckBox" fmlaLink="$N$36" lockText="1" noThreeD="1"/>
</file>

<file path=xl/ctrlProps/ctrlProp4.xml><?xml version="1.0" encoding="utf-8"?>
<formControlPr xmlns="http://schemas.microsoft.com/office/spreadsheetml/2009/9/main" objectType="CheckBox" fmlaLink="$N$37" lockText="1" noThreeD="1"/>
</file>

<file path=xl/ctrlProps/ctrlProp5.xml><?xml version="1.0" encoding="utf-8"?>
<formControlPr xmlns="http://schemas.microsoft.com/office/spreadsheetml/2009/9/main" objectType="CheckBox" fmlaLink="$N$38" lockText="1" noThreeD="1"/>
</file>

<file path=xl/ctrlProps/ctrlProp6.xml><?xml version="1.0" encoding="utf-8"?>
<formControlPr xmlns="http://schemas.microsoft.com/office/spreadsheetml/2009/9/main" objectType="CheckBox" fmlaLink="$N$39" lockText="1" noThreeD="1"/>
</file>

<file path=xl/ctrlProps/ctrlProp7.xml><?xml version="1.0" encoding="utf-8"?>
<formControlPr xmlns="http://schemas.microsoft.com/office/spreadsheetml/2009/9/main" objectType="CheckBox" fmlaLink="$N$40" lockText="1" noThreeD="1"/>
</file>

<file path=xl/ctrlProps/ctrlProp8.xml><?xml version="1.0" encoding="utf-8"?>
<formControlPr xmlns="http://schemas.microsoft.com/office/spreadsheetml/2009/9/main" objectType="CheckBox" fmlaLink="$N$41" lockText="1" noThreeD="1"/>
</file>

<file path=xl/ctrlProps/ctrlProp9.xml><?xml version="1.0" encoding="utf-8"?>
<formControlPr xmlns="http://schemas.microsoft.com/office/spreadsheetml/2009/9/main" objectType="CheckBox" fmlaLink="$N$42" lockText="1" noThreeD="1"/>
</file>

<file path=xl/ctrlProps/ctrlProp10.xml><?xml version="1.0" encoding="utf-8"?>
<formControlPr xmlns="http://schemas.microsoft.com/office/spreadsheetml/2009/9/main" objectType="CheckBox" fmlaLink="$N$43" lockText="1" noThreeD="1"/>
</file>

<file path=xl/ctrlProps/ctrlProp11.xml><?xml version="1.0" encoding="utf-8"?>
<formControlPr xmlns="http://schemas.microsoft.com/office/spreadsheetml/2009/9/main" objectType="CheckBox" fmlaLink="$N$44" lockText="1" noThreeD="1"/>
</file>

<file path=xl/ctrlProps/ctrlProp12.xml><?xml version="1.0" encoding="utf-8"?>
<formControlPr xmlns="http://schemas.microsoft.com/office/spreadsheetml/2009/9/main" objectType="CheckBox" fmlaLink="$N$45" lockText="1" noThreeD="1"/>
</file>

<file path=xl/ctrlProps/ctrlProp13.xml><?xml version="1.0" encoding="utf-8"?>
<formControlPr xmlns="http://schemas.microsoft.com/office/spreadsheetml/2009/9/main" objectType="CheckBox" fmlaLink="$N$47" lockText="1" noThreeD="1"/>
</file>

<file path=xl/ctrlProps/ctrlProp14.xml><?xml version="1.0" encoding="utf-8"?>
<formControlPr xmlns="http://schemas.microsoft.com/office/spreadsheetml/2009/9/main" objectType="CheckBox" fmlaLink="$N$48" lockText="1" noThreeD="1"/>
</file>

<file path=xl/ctrlProps/ctrlProp15.xml><?xml version="1.0" encoding="utf-8"?>
<formControlPr xmlns="http://schemas.microsoft.com/office/spreadsheetml/2009/9/main" objectType="CheckBox" fmlaLink="$N$49" lockText="1" noThreeD="1"/>
</file>

<file path=xl/ctrlProps/ctrlProp16.xml><?xml version="1.0" encoding="utf-8"?>
<formControlPr xmlns="http://schemas.microsoft.com/office/spreadsheetml/2009/9/main" objectType="CheckBox" fmlaLink="$N$50" lockText="1" noThreeD="1"/>
</file>

<file path=xl/ctrlProps/ctrlProp17.xml><?xml version="1.0" encoding="utf-8"?>
<formControlPr xmlns="http://schemas.microsoft.com/office/spreadsheetml/2009/9/main" objectType="CheckBox" fmlaLink="$N$51" lockText="1" noThreeD="1"/>
</file>

<file path=xl/ctrlProps/ctrlProp18.xml><?xml version="1.0" encoding="utf-8"?>
<formControlPr xmlns="http://schemas.microsoft.com/office/spreadsheetml/2009/9/main" objectType="CheckBox" fmlaLink="$N$52" lockText="1" noThreeD="1"/>
</file>

<file path=xl/ctrlProps/ctrlProp19.xml><?xml version="1.0" encoding="utf-8"?>
<formControlPr xmlns="http://schemas.microsoft.com/office/spreadsheetml/2009/9/main" objectType="CheckBox" fmlaLink="$N$53" lockText="1" noThreeD="1"/>
</file>

<file path=xl/ctrlProps/ctrlProp20.xml><?xml version="1.0" encoding="utf-8"?>
<formControlPr xmlns="http://schemas.microsoft.com/office/spreadsheetml/2009/9/main" objectType="CheckBox" fmlaLink="$N$54" lockText="1" noThreeD="1"/>
</file>

<file path=xl/ctrlProps/ctrlProp21.xml><?xml version="1.0" encoding="utf-8"?>
<formControlPr xmlns="http://schemas.microsoft.com/office/spreadsheetml/2009/9/main" objectType="CheckBox" fmlaLink="$N$55" lockText="1" noThreeD="1"/>
</file>

<file path=xl/ctrlProps/ctrlProp22.xml><?xml version="1.0" encoding="utf-8"?>
<formControlPr xmlns="http://schemas.microsoft.com/office/spreadsheetml/2009/9/main" objectType="CheckBox" fmlaLink="$N$56" lockText="1" noThreeD="1"/>
</file>

<file path=xl/ctrlProps/ctrlProp23.xml><?xml version="1.0" encoding="utf-8"?>
<formControlPr xmlns="http://schemas.microsoft.com/office/spreadsheetml/2009/9/main" objectType="CheckBox" fmlaLink="$N$57" lockText="1" noThreeD="1"/>
</file>

<file path=xl/ctrlProps/ctrlProp24.xml><?xml version="1.0" encoding="utf-8"?>
<formControlPr xmlns="http://schemas.microsoft.com/office/spreadsheetml/2009/9/main" objectType="CheckBox" fmlaLink="$N$58" lockText="1" noThreeD="1"/>
</file>

<file path=xl/ctrlProps/ctrlProp25.xml><?xml version="1.0" encoding="utf-8"?>
<formControlPr xmlns="http://schemas.microsoft.com/office/spreadsheetml/2009/9/main" objectType="CheckBox" fmlaLink="$D$17" lockText="1"/>
</file>

<file path=xl/ctrlProps/ctrlProp26.xml><?xml version="1.0" encoding="utf-8"?>
<formControlPr xmlns="http://schemas.microsoft.com/office/spreadsheetml/2009/9/main" objectType="CheckBox" fmlaLink="$D$16" lockText="1"/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4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30480</xdr:colOff>
          <xdr:row>32</xdr:row>
          <xdr:rowOff>373380</xdr:rowOff>
        </xdr:from>
        <xdr:to>
          <xdr:col>13</xdr:col>
          <xdr:colOff>731520</xdr:colOff>
          <xdr:row>34</xdr:row>
          <xdr:rowOff>22860</xdr:rowOff>
        </xdr:to>
        <xdr:sp macro="" textlink="">
          <xdr:nvSpPr>
            <xdr:cNvPr id="1035" name="Check Box 11" descr="Amortize?&#10;" hidden="1">
              <a:extLst>
                <a:ext uri="{63B3BB69-23CF-44E3-9099-C40C66FF867C}">
                  <a14:compatExt spid="_x0000_s1035"/>
                </a:ext>
                <a:ext uri="{FF2B5EF4-FFF2-40B4-BE49-F238E27FC236}">
                  <a16:creationId xmlns:a16="http://schemas.microsoft.com/office/drawing/2014/main" id="{00000000-0008-0000-0000-00000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(Y/N)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38100</xdr:colOff>
          <xdr:row>33</xdr:row>
          <xdr:rowOff>182880</xdr:rowOff>
        </xdr:from>
        <xdr:to>
          <xdr:col>13</xdr:col>
          <xdr:colOff>746760</xdr:colOff>
          <xdr:row>35</xdr:row>
          <xdr:rowOff>7620</xdr:rowOff>
        </xdr:to>
        <xdr:sp macro="" textlink="">
          <xdr:nvSpPr>
            <xdr:cNvPr id="1036" name="Check Box 12" descr="Amortize?&#10;" hidden="1">
              <a:extLst>
                <a:ext uri="{63B3BB69-23CF-44E3-9099-C40C66FF867C}">
                  <a14:compatExt spid="_x0000_s1036"/>
                </a:ext>
                <a:ext uri="{FF2B5EF4-FFF2-40B4-BE49-F238E27FC236}">
                  <a16:creationId xmlns:a16="http://schemas.microsoft.com/office/drawing/2014/main" id="{00000000-0008-0000-0000-00000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(Y/N)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38100</xdr:colOff>
          <xdr:row>35</xdr:row>
          <xdr:rowOff>0</xdr:rowOff>
        </xdr:from>
        <xdr:to>
          <xdr:col>13</xdr:col>
          <xdr:colOff>746760</xdr:colOff>
          <xdr:row>36</xdr:row>
          <xdr:rowOff>7620</xdr:rowOff>
        </xdr:to>
        <xdr:sp macro="" textlink="">
          <xdr:nvSpPr>
            <xdr:cNvPr id="1037" name="Check Box 13" descr="Amortize?&#10;" hidden="1">
              <a:extLst>
                <a:ext uri="{63B3BB69-23CF-44E3-9099-C40C66FF867C}">
                  <a14:compatExt spid="_x0000_s1037"/>
                </a:ext>
                <a:ext uri="{FF2B5EF4-FFF2-40B4-BE49-F238E27FC236}">
                  <a16:creationId xmlns:a16="http://schemas.microsoft.com/office/drawing/2014/main" id="{00000000-0008-0000-0000-00000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(Y/N)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38100</xdr:colOff>
          <xdr:row>36</xdr:row>
          <xdr:rowOff>0</xdr:rowOff>
        </xdr:from>
        <xdr:to>
          <xdr:col>13</xdr:col>
          <xdr:colOff>746760</xdr:colOff>
          <xdr:row>37</xdr:row>
          <xdr:rowOff>22860</xdr:rowOff>
        </xdr:to>
        <xdr:sp macro="" textlink="">
          <xdr:nvSpPr>
            <xdr:cNvPr id="1038" name="Check Box 14" descr="Amortize?&#10;" hidden="1">
              <a:extLst>
                <a:ext uri="{63B3BB69-23CF-44E3-9099-C40C66FF867C}">
                  <a14:compatExt spid="_x0000_s1038"/>
                </a:ext>
                <a:ext uri="{FF2B5EF4-FFF2-40B4-BE49-F238E27FC236}">
                  <a16:creationId xmlns:a16="http://schemas.microsoft.com/office/drawing/2014/main" id="{00000000-0008-0000-0000-00000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(Y/N)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38100</xdr:colOff>
          <xdr:row>37</xdr:row>
          <xdr:rowOff>0</xdr:rowOff>
        </xdr:from>
        <xdr:to>
          <xdr:col>13</xdr:col>
          <xdr:colOff>746760</xdr:colOff>
          <xdr:row>38</xdr:row>
          <xdr:rowOff>22860</xdr:rowOff>
        </xdr:to>
        <xdr:sp macro="" textlink="">
          <xdr:nvSpPr>
            <xdr:cNvPr id="1040" name="Check Box 16" descr="Amortize?&#10;" hidden="1">
              <a:extLst>
                <a:ext uri="{63B3BB69-23CF-44E3-9099-C40C66FF867C}">
                  <a14:compatExt spid="_x0000_s1040"/>
                </a:ext>
                <a:ext uri="{FF2B5EF4-FFF2-40B4-BE49-F238E27FC236}">
                  <a16:creationId xmlns:a16="http://schemas.microsoft.com/office/drawing/2014/main" id="{00000000-0008-0000-0000-00001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(Y/N)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38100</xdr:colOff>
          <xdr:row>38</xdr:row>
          <xdr:rowOff>0</xdr:rowOff>
        </xdr:from>
        <xdr:to>
          <xdr:col>13</xdr:col>
          <xdr:colOff>746760</xdr:colOff>
          <xdr:row>39</xdr:row>
          <xdr:rowOff>7620</xdr:rowOff>
        </xdr:to>
        <xdr:sp macro="" textlink="">
          <xdr:nvSpPr>
            <xdr:cNvPr id="1041" name="Check Box 17" descr="Amortize?&#10;" hidden="1">
              <a:extLst>
                <a:ext uri="{63B3BB69-23CF-44E3-9099-C40C66FF867C}">
                  <a14:compatExt spid="_x0000_s1041"/>
                </a:ext>
                <a:ext uri="{FF2B5EF4-FFF2-40B4-BE49-F238E27FC236}">
                  <a16:creationId xmlns:a16="http://schemas.microsoft.com/office/drawing/2014/main" id="{00000000-0008-0000-0000-00001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(Y/N)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38100</xdr:colOff>
          <xdr:row>39</xdr:row>
          <xdr:rowOff>0</xdr:rowOff>
        </xdr:from>
        <xdr:to>
          <xdr:col>13</xdr:col>
          <xdr:colOff>746760</xdr:colOff>
          <xdr:row>40</xdr:row>
          <xdr:rowOff>22860</xdr:rowOff>
        </xdr:to>
        <xdr:sp macro="" textlink="">
          <xdr:nvSpPr>
            <xdr:cNvPr id="1042" name="Check Box 18" descr="Amortize?&#10;" hidden="1">
              <a:extLst>
                <a:ext uri="{63B3BB69-23CF-44E3-9099-C40C66FF867C}">
                  <a14:compatExt spid="_x0000_s1042"/>
                </a:ext>
                <a:ext uri="{FF2B5EF4-FFF2-40B4-BE49-F238E27FC236}">
                  <a16:creationId xmlns:a16="http://schemas.microsoft.com/office/drawing/2014/main" id="{00000000-0008-0000-0000-00001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(Y/N)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38100</xdr:colOff>
          <xdr:row>40</xdr:row>
          <xdr:rowOff>0</xdr:rowOff>
        </xdr:from>
        <xdr:to>
          <xdr:col>13</xdr:col>
          <xdr:colOff>746760</xdr:colOff>
          <xdr:row>41</xdr:row>
          <xdr:rowOff>22860</xdr:rowOff>
        </xdr:to>
        <xdr:sp macro="" textlink="">
          <xdr:nvSpPr>
            <xdr:cNvPr id="1043" name="Check Box 19" descr="Amortize?&#10;" hidden="1">
              <a:extLst>
                <a:ext uri="{63B3BB69-23CF-44E3-9099-C40C66FF867C}">
                  <a14:compatExt spid="_x0000_s1043"/>
                </a:ext>
                <a:ext uri="{FF2B5EF4-FFF2-40B4-BE49-F238E27FC236}">
                  <a16:creationId xmlns:a16="http://schemas.microsoft.com/office/drawing/2014/main" id="{00000000-0008-0000-0000-00001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(Y/N)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38100</xdr:colOff>
          <xdr:row>41</xdr:row>
          <xdr:rowOff>0</xdr:rowOff>
        </xdr:from>
        <xdr:to>
          <xdr:col>13</xdr:col>
          <xdr:colOff>746760</xdr:colOff>
          <xdr:row>42</xdr:row>
          <xdr:rowOff>7620</xdr:rowOff>
        </xdr:to>
        <xdr:sp macro="" textlink="">
          <xdr:nvSpPr>
            <xdr:cNvPr id="1044" name="Check Box 20" descr="Amortize?&#10;" hidden="1">
              <a:extLst>
                <a:ext uri="{63B3BB69-23CF-44E3-9099-C40C66FF867C}">
                  <a14:compatExt spid="_x0000_s1044"/>
                </a:ext>
                <a:ext uri="{FF2B5EF4-FFF2-40B4-BE49-F238E27FC236}">
                  <a16:creationId xmlns:a16="http://schemas.microsoft.com/office/drawing/2014/main" id="{00000000-0008-0000-0000-00001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(Y/N)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38100</xdr:colOff>
          <xdr:row>42</xdr:row>
          <xdr:rowOff>0</xdr:rowOff>
        </xdr:from>
        <xdr:to>
          <xdr:col>13</xdr:col>
          <xdr:colOff>746760</xdr:colOff>
          <xdr:row>43</xdr:row>
          <xdr:rowOff>22860</xdr:rowOff>
        </xdr:to>
        <xdr:sp macro="" textlink="">
          <xdr:nvSpPr>
            <xdr:cNvPr id="1045" name="Check Box 21" descr="Amortize?&#10;" hidden="1">
              <a:extLst>
                <a:ext uri="{63B3BB69-23CF-44E3-9099-C40C66FF867C}">
                  <a14:compatExt spid="_x0000_s1045"/>
                </a:ext>
                <a:ext uri="{FF2B5EF4-FFF2-40B4-BE49-F238E27FC236}">
                  <a16:creationId xmlns:a16="http://schemas.microsoft.com/office/drawing/2014/main" id="{00000000-0008-0000-0000-00001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(Y/N)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38100</xdr:colOff>
          <xdr:row>43</xdr:row>
          <xdr:rowOff>0</xdr:rowOff>
        </xdr:from>
        <xdr:to>
          <xdr:col>13</xdr:col>
          <xdr:colOff>746760</xdr:colOff>
          <xdr:row>44</xdr:row>
          <xdr:rowOff>22860</xdr:rowOff>
        </xdr:to>
        <xdr:sp macro="" textlink="">
          <xdr:nvSpPr>
            <xdr:cNvPr id="1046" name="Check Box 22" descr="Amortize?&#10;" hidden="1">
              <a:extLst>
                <a:ext uri="{63B3BB69-23CF-44E3-9099-C40C66FF867C}">
                  <a14:compatExt spid="_x0000_s1046"/>
                </a:ext>
                <a:ext uri="{FF2B5EF4-FFF2-40B4-BE49-F238E27FC236}">
                  <a16:creationId xmlns:a16="http://schemas.microsoft.com/office/drawing/2014/main" id="{00000000-0008-0000-0000-00001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(Y/N)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38100</xdr:colOff>
          <xdr:row>44</xdr:row>
          <xdr:rowOff>0</xdr:rowOff>
        </xdr:from>
        <xdr:to>
          <xdr:col>13</xdr:col>
          <xdr:colOff>746760</xdr:colOff>
          <xdr:row>45</xdr:row>
          <xdr:rowOff>7620</xdr:rowOff>
        </xdr:to>
        <xdr:sp macro="" textlink="">
          <xdr:nvSpPr>
            <xdr:cNvPr id="1047" name="Check Box 23" descr="Amortize?&#10;" hidden="1">
              <a:extLst>
                <a:ext uri="{63B3BB69-23CF-44E3-9099-C40C66FF867C}">
                  <a14:compatExt spid="_x0000_s1047"/>
                </a:ext>
                <a:ext uri="{FF2B5EF4-FFF2-40B4-BE49-F238E27FC236}">
                  <a16:creationId xmlns:a16="http://schemas.microsoft.com/office/drawing/2014/main" id="{00000000-0008-0000-0000-00001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(Y/N)</a:t>
              </a:r>
            </a:p>
          </xdr:txBody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38100</xdr:colOff>
          <xdr:row>46</xdr:row>
          <xdr:rowOff>7620</xdr:rowOff>
        </xdr:from>
        <xdr:to>
          <xdr:col>14</xdr:col>
          <xdr:colOff>68580</xdr:colOff>
          <xdr:row>47</xdr:row>
          <xdr:rowOff>30480</xdr:rowOff>
        </xdr:to>
        <xdr:sp macro="" textlink="">
          <xdr:nvSpPr>
            <xdr:cNvPr id="2061" name="Check Box 13" descr="Amortize?&#10;" hidden="1">
              <a:extLst>
                <a:ext uri="{63B3BB69-23CF-44E3-9099-C40C66FF867C}">
                  <a14:compatExt spid="_x0000_s2061"/>
                </a:ext>
                <a:ext uri="{FF2B5EF4-FFF2-40B4-BE49-F238E27FC236}">
                  <a16:creationId xmlns:a16="http://schemas.microsoft.com/office/drawing/2014/main" id="{00000000-0008-0000-0100-00000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(Y/N)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38100</xdr:colOff>
          <xdr:row>47</xdr:row>
          <xdr:rowOff>7620</xdr:rowOff>
        </xdr:from>
        <xdr:to>
          <xdr:col>14</xdr:col>
          <xdr:colOff>68580</xdr:colOff>
          <xdr:row>48</xdr:row>
          <xdr:rowOff>30480</xdr:rowOff>
        </xdr:to>
        <xdr:sp macro="" textlink="">
          <xdr:nvSpPr>
            <xdr:cNvPr id="2062" name="Check Box 14" descr="Amortize?&#10;" hidden="1">
              <a:extLst>
                <a:ext uri="{63B3BB69-23CF-44E3-9099-C40C66FF867C}">
                  <a14:compatExt spid="_x0000_s2062"/>
                </a:ext>
                <a:ext uri="{FF2B5EF4-FFF2-40B4-BE49-F238E27FC236}">
                  <a16:creationId xmlns:a16="http://schemas.microsoft.com/office/drawing/2014/main" id="{00000000-0008-0000-0100-00000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(Y/N)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38100</xdr:colOff>
          <xdr:row>48</xdr:row>
          <xdr:rowOff>7620</xdr:rowOff>
        </xdr:from>
        <xdr:to>
          <xdr:col>14</xdr:col>
          <xdr:colOff>68580</xdr:colOff>
          <xdr:row>49</xdr:row>
          <xdr:rowOff>22860</xdr:rowOff>
        </xdr:to>
        <xdr:sp macro="" textlink="">
          <xdr:nvSpPr>
            <xdr:cNvPr id="2063" name="Check Box 15" descr="Amortize?&#10;" hidden="1">
              <a:extLst>
                <a:ext uri="{63B3BB69-23CF-44E3-9099-C40C66FF867C}">
                  <a14:compatExt spid="_x0000_s2063"/>
                </a:ext>
                <a:ext uri="{FF2B5EF4-FFF2-40B4-BE49-F238E27FC236}">
                  <a16:creationId xmlns:a16="http://schemas.microsoft.com/office/drawing/2014/main" id="{00000000-0008-0000-0100-00000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(Y/N)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38100</xdr:colOff>
          <xdr:row>49</xdr:row>
          <xdr:rowOff>7620</xdr:rowOff>
        </xdr:from>
        <xdr:to>
          <xdr:col>14</xdr:col>
          <xdr:colOff>68580</xdr:colOff>
          <xdr:row>50</xdr:row>
          <xdr:rowOff>30480</xdr:rowOff>
        </xdr:to>
        <xdr:sp macro="" textlink="">
          <xdr:nvSpPr>
            <xdr:cNvPr id="2064" name="Check Box 16" descr="Amortize?&#10;" hidden="1">
              <a:extLst>
                <a:ext uri="{63B3BB69-23CF-44E3-9099-C40C66FF867C}">
                  <a14:compatExt spid="_x0000_s2064"/>
                </a:ext>
                <a:ext uri="{FF2B5EF4-FFF2-40B4-BE49-F238E27FC236}">
                  <a16:creationId xmlns:a16="http://schemas.microsoft.com/office/drawing/2014/main" id="{00000000-0008-0000-0100-00001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(Y/N)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38100</xdr:colOff>
          <xdr:row>50</xdr:row>
          <xdr:rowOff>7620</xdr:rowOff>
        </xdr:from>
        <xdr:to>
          <xdr:col>14</xdr:col>
          <xdr:colOff>68580</xdr:colOff>
          <xdr:row>51</xdr:row>
          <xdr:rowOff>30480</xdr:rowOff>
        </xdr:to>
        <xdr:sp macro="" textlink="">
          <xdr:nvSpPr>
            <xdr:cNvPr id="2065" name="Check Box 17" descr="Amortize?&#10;" hidden="1">
              <a:extLst>
                <a:ext uri="{63B3BB69-23CF-44E3-9099-C40C66FF867C}">
                  <a14:compatExt spid="_x0000_s2065"/>
                </a:ext>
                <a:ext uri="{FF2B5EF4-FFF2-40B4-BE49-F238E27FC236}">
                  <a16:creationId xmlns:a16="http://schemas.microsoft.com/office/drawing/2014/main" id="{00000000-0008-0000-0100-00001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(Y/N)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38100</xdr:colOff>
          <xdr:row>51</xdr:row>
          <xdr:rowOff>7620</xdr:rowOff>
        </xdr:from>
        <xdr:to>
          <xdr:col>14</xdr:col>
          <xdr:colOff>68580</xdr:colOff>
          <xdr:row>52</xdr:row>
          <xdr:rowOff>22860</xdr:rowOff>
        </xdr:to>
        <xdr:sp macro="" textlink="">
          <xdr:nvSpPr>
            <xdr:cNvPr id="2066" name="Check Box 18" descr="Amortize?&#10;" hidden="1">
              <a:extLst>
                <a:ext uri="{63B3BB69-23CF-44E3-9099-C40C66FF867C}">
                  <a14:compatExt spid="_x0000_s2066"/>
                </a:ext>
                <a:ext uri="{FF2B5EF4-FFF2-40B4-BE49-F238E27FC236}">
                  <a16:creationId xmlns:a16="http://schemas.microsoft.com/office/drawing/2014/main" id="{00000000-0008-0000-0100-00001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(Y/N)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38100</xdr:colOff>
          <xdr:row>52</xdr:row>
          <xdr:rowOff>7620</xdr:rowOff>
        </xdr:from>
        <xdr:to>
          <xdr:col>14</xdr:col>
          <xdr:colOff>68580</xdr:colOff>
          <xdr:row>53</xdr:row>
          <xdr:rowOff>30480</xdr:rowOff>
        </xdr:to>
        <xdr:sp macro="" textlink="">
          <xdr:nvSpPr>
            <xdr:cNvPr id="2067" name="Check Box 19" descr="Amortize?&#10;" hidden="1">
              <a:extLst>
                <a:ext uri="{63B3BB69-23CF-44E3-9099-C40C66FF867C}">
                  <a14:compatExt spid="_x0000_s2067"/>
                </a:ext>
                <a:ext uri="{FF2B5EF4-FFF2-40B4-BE49-F238E27FC236}">
                  <a16:creationId xmlns:a16="http://schemas.microsoft.com/office/drawing/2014/main" id="{00000000-0008-0000-0100-00001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(Y/N)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38100</xdr:colOff>
          <xdr:row>53</xdr:row>
          <xdr:rowOff>7620</xdr:rowOff>
        </xdr:from>
        <xdr:to>
          <xdr:col>14</xdr:col>
          <xdr:colOff>68580</xdr:colOff>
          <xdr:row>54</xdr:row>
          <xdr:rowOff>30480</xdr:rowOff>
        </xdr:to>
        <xdr:sp macro="" textlink="">
          <xdr:nvSpPr>
            <xdr:cNvPr id="2068" name="Check Box 20" descr="Amortize?&#10;" hidden="1">
              <a:extLst>
                <a:ext uri="{63B3BB69-23CF-44E3-9099-C40C66FF867C}">
                  <a14:compatExt spid="_x0000_s2068"/>
                </a:ext>
                <a:ext uri="{FF2B5EF4-FFF2-40B4-BE49-F238E27FC236}">
                  <a16:creationId xmlns:a16="http://schemas.microsoft.com/office/drawing/2014/main" id="{00000000-0008-0000-0100-00001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(Y/N)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38100</xdr:colOff>
          <xdr:row>54</xdr:row>
          <xdr:rowOff>7620</xdr:rowOff>
        </xdr:from>
        <xdr:to>
          <xdr:col>14</xdr:col>
          <xdr:colOff>68580</xdr:colOff>
          <xdr:row>55</xdr:row>
          <xdr:rowOff>22860</xdr:rowOff>
        </xdr:to>
        <xdr:sp macro="" textlink="">
          <xdr:nvSpPr>
            <xdr:cNvPr id="2069" name="Check Box 21" descr="Amortize?&#10;" hidden="1">
              <a:extLst>
                <a:ext uri="{63B3BB69-23CF-44E3-9099-C40C66FF867C}">
                  <a14:compatExt spid="_x0000_s2069"/>
                </a:ext>
                <a:ext uri="{FF2B5EF4-FFF2-40B4-BE49-F238E27FC236}">
                  <a16:creationId xmlns:a16="http://schemas.microsoft.com/office/drawing/2014/main" id="{00000000-0008-0000-0100-00001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(Y/N)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38100</xdr:colOff>
          <xdr:row>55</xdr:row>
          <xdr:rowOff>7620</xdr:rowOff>
        </xdr:from>
        <xdr:to>
          <xdr:col>14</xdr:col>
          <xdr:colOff>68580</xdr:colOff>
          <xdr:row>56</xdr:row>
          <xdr:rowOff>30480</xdr:rowOff>
        </xdr:to>
        <xdr:sp macro="" textlink="">
          <xdr:nvSpPr>
            <xdr:cNvPr id="2070" name="Check Box 22" descr="Amortize?&#10;" hidden="1">
              <a:extLst>
                <a:ext uri="{63B3BB69-23CF-44E3-9099-C40C66FF867C}">
                  <a14:compatExt spid="_x0000_s2070"/>
                </a:ext>
                <a:ext uri="{FF2B5EF4-FFF2-40B4-BE49-F238E27FC236}">
                  <a16:creationId xmlns:a16="http://schemas.microsoft.com/office/drawing/2014/main" id="{00000000-0008-0000-0100-00001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(Y/N)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38100</xdr:colOff>
          <xdr:row>56</xdr:row>
          <xdr:rowOff>7620</xdr:rowOff>
        </xdr:from>
        <xdr:to>
          <xdr:col>14</xdr:col>
          <xdr:colOff>68580</xdr:colOff>
          <xdr:row>57</xdr:row>
          <xdr:rowOff>30480</xdr:rowOff>
        </xdr:to>
        <xdr:sp macro="" textlink="">
          <xdr:nvSpPr>
            <xdr:cNvPr id="2071" name="Check Box 23" descr="Amortize?&#10;" hidden="1">
              <a:extLst>
                <a:ext uri="{63B3BB69-23CF-44E3-9099-C40C66FF867C}">
                  <a14:compatExt spid="_x0000_s2071"/>
                </a:ext>
                <a:ext uri="{FF2B5EF4-FFF2-40B4-BE49-F238E27FC236}">
                  <a16:creationId xmlns:a16="http://schemas.microsoft.com/office/drawing/2014/main" id="{00000000-0008-0000-0100-00001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(Y/N)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38100</xdr:colOff>
          <xdr:row>57</xdr:row>
          <xdr:rowOff>7620</xdr:rowOff>
        </xdr:from>
        <xdr:to>
          <xdr:col>14</xdr:col>
          <xdr:colOff>68580</xdr:colOff>
          <xdr:row>58</xdr:row>
          <xdr:rowOff>22860</xdr:rowOff>
        </xdr:to>
        <xdr:sp macro="" textlink="">
          <xdr:nvSpPr>
            <xdr:cNvPr id="2072" name="Check Box 24" descr="Amortize?&#10;" hidden="1">
              <a:extLst>
                <a:ext uri="{63B3BB69-23CF-44E3-9099-C40C66FF867C}">
                  <a14:compatExt spid="_x0000_s2072"/>
                </a:ext>
                <a:ext uri="{FF2B5EF4-FFF2-40B4-BE49-F238E27FC236}">
                  <a16:creationId xmlns:a16="http://schemas.microsoft.com/office/drawing/2014/main" id="{00000000-0008-0000-0100-00001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(Y/N)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30480</xdr:colOff>
          <xdr:row>15</xdr:row>
          <xdr:rowOff>152400</xdr:rowOff>
        </xdr:from>
        <xdr:to>
          <xdr:col>3</xdr:col>
          <xdr:colOff>670560</xdr:colOff>
          <xdr:row>17</xdr:row>
          <xdr:rowOff>7620</xdr:rowOff>
        </xdr:to>
        <xdr:sp macro="" textlink="">
          <xdr:nvSpPr>
            <xdr:cNvPr id="2073" name="Check Box 25" descr="Amortize?&#10;" hidden="1">
              <a:extLst>
                <a:ext uri="{63B3BB69-23CF-44E3-9099-C40C66FF867C}">
                  <a14:compatExt spid="_x0000_s2073"/>
                </a:ext>
                <a:ext uri="{FF2B5EF4-FFF2-40B4-BE49-F238E27FC236}">
                  <a16:creationId xmlns:a16="http://schemas.microsoft.com/office/drawing/2014/main" id="{00000000-0008-0000-0100-00001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(Y/N)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30480</xdr:colOff>
          <xdr:row>14</xdr:row>
          <xdr:rowOff>152400</xdr:rowOff>
        </xdr:from>
        <xdr:to>
          <xdr:col>3</xdr:col>
          <xdr:colOff>670560</xdr:colOff>
          <xdr:row>16</xdr:row>
          <xdr:rowOff>7620</xdr:rowOff>
        </xdr:to>
        <xdr:sp macro="" textlink="">
          <xdr:nvSpPr>
            <xdr:cNvPr id="2076" name="Check Box 28" descr="Amortize?&#10;" hidden="1">
              <a:extLst>
                <a:ext uri="{63B3BB69-23CF-44E3-9099-C40C66FF867C}">
                  <a14:compatExt spid="_x0000_s2076"/>
                </a:ext>
                <a:ext uri="{FF2B5EF4-FFF2-40B4-BE49-F238E27FC236}">
                  <a16:creationId xmlns:a16="http://schemas.microsoft.com/office/drawing/2014/main" id="{00000000-0008-0000-0100-00001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(Y/N)</a:t>
              </a:r>
            </a:p>
          </xdr:txBody>
        </xdr:sp>
        <xdr:clientData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S:\Estimating\Jeff\Estimating%20Rates.xlsx" TargetMode="External"/><Relationship Id="rId1" Type="http://schemas.openxmlformats.org/officeDocument/2006/relationships/externalLinkPath" Target="file:///S:\Estimating\Jeff\Estimating%20Rate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  <sheetName val="Edit History"/>
      <sheetName val="Estimating Rates"/>
    </sheetNames>
    <definedNames>
      <definedName name="Rates2020" refersTo="='Sheet1'!$M$5:$AD$75"/>
    </definedNames>
    <sheetDataSet>
      <sheetData sheetId="0">
        <row r="5">
          <cell r="M5" t="str">
            <v>Program</v>
          </cell>
          <cell r="N5">
            <v>2.08</v>
          </cell>
          <cell r="O5">
            <v>2.08</v>
          </cell>
          <cell r="P5">
            <v>2.08</v>
          </cell>
          <cell r="Q5">
            <v>2.08</v>
          </cell>
          <cell r="R5">
            <v>2.08</v>
          </cell>
          <cell r="S5">
            <v>2.08</v>
          </cell>
          <cell r="T5">
            <v>2.08</v>
          </cell>
          <cell r="U5">
            <v>2.08</v>
          </cell>
          <cell r="V5">
            <v>2.08</v>
          </cell>
          <cell r="W5">
            <v>2.08</v>
          </cell>
          <cell r="X5">
            <v>2.08</v>
          </cell>
          <cell r="Y5">
            <v>2.08</v>
          </cell>
          <cell r="Z5">
            <v>2.08</v>
          </cell>
          <cell r="AA5">
            <v>2.08</v>
          </cell>
          <cell r="AB5">
            <v>2.08</v>
          </cell>
          <cell r="AC5">
            <v>2.08</v>
          </cell>
          <cell r="AD5">
            <v>2.08</v>
          </cell>
        </row>
        <row r="6">
          <cell r="M6" t="str">
            <v>Fixtures</v>
          </cell>
          <cell r="N6">
            <v>2.5</v>
          </cell>
          <cell r="O6">
            <v>2.5</v>
          </cell>
          <cell r="P6">
            <v>2.5</v>
          </cell>
          <cell r="Q6">
            <v>2.5</v>
          </cell>
          <cell r="R6">
            <v>2.5</v>
          </cell>
          <cell r="S6">
            <v>2.5</v>
          </cell>
          <cell r="T6">
            <v>2.5</v>
          </cell>
          <cell r="U6">
            <v>2.5</v>
          </cell>
          <cell r="V6">
            <v>2.5</v>
          </cell>
          <cell r="W6">
            <v>2.5</v>
          </cell>
          <cell r="X6">
            <v>2.5</v>
          </cell>
          <cell r="Y6">
            <v>2.5</v>
          </cell>
          <cell r="Z6">
            <v>2.5</v>
          </cell>
          <cell r="AA6">
            <v>2.5</v>
          </cell>
          <cell r="AB6">
            <v>2.5</v>
          </cell>
          <cell r="AC6">
            <v>2.5</v>
          </cell>
          <cell r="AD6">
            <v>2.5</v>
          </cell>
        </row>
        <row r="7">
          <cell r="M7" t="str">
            <v>Metals - Mills</v>
          </cell>
          <cell r="N7">
            <v>0.46</v>
          </cell>
          <cell r="O7">
            <v>0.46900000000000003</v>
          </cell>
          <cell r="P7">
            <v>0.45866666666666667</v>
          </cell>
          <cell r="Q7">
            <v>0.45450000000000002</v>
          </cell>
          <cell r="R7">
            <v>0.46816666666666668</v>
          </cell>
          <cell r="S7">
            <v>0.52416666666666667</v>
          </cell>
          <cell r="T7">
            <v>0.53983333333333339</v>
          </cell>
          <cell r="U7">
            <v>0.55616666666666659</v>
          </cell>
          <cell r="V7">
            <v>0.57833333333333337</v>
          </cell>
          <cell r="W7">
            <v>0.60150000000000003</v>
          </cell>
          <cell r="X7">
            <v>0.62550000000000006</v>
          </cell>
          <cell r="Y7">
            <v>0.65049999999999997</v>
          </cell>
          <cell r="Z7">
            <v>0.6765000000000001</v>
          </cell>
          <cell r="AA7">
            <v>0.70366666666666666</v>
          </cell>
          <cell r="AB7">
            <v>0.73183333333333322</v>
          </cell>
          <cell r="AC7">
            <v>0.7609999999999999</v>
          </cell>
          <cell r="AD7">
            <v>0.79149999999999998</v>
          </cell>
        </row>
        <row r="8">
          <cell r="M8" t="str">
            <v>Metals - Lathe</v>
          </cell>
          <cell r="N8">
            <v>0.46</v>
          </cell>
          <cell r="O8">
            <v>0.46900000000000003</v>
          </cell>
          <cell r="P8">
            <v>0.45866666666666667</v>
          </cell>
          <cell r="Q8">
            <v>0.45450000000000002</v>
          </cell>
          <cell r="R8">
            <v>0.46816666666666668</v>
          </cell>
          <cell r="S8">
            <v>0.52416666666666667</v>
          </cell>
          <cell r="T8">
            <v>0.53983333333333339</v>
          </cell>
          <cell r="U8">
            <v>0.55616666666666659</v>
          </cell>
          <cell r="V8">
            <v>0.57833333333333337</v>
          </cell>
          <cell r="W8">
            <v>0.60150000000000003</v>
          </cell>
          <cell r="X8">
            <v>0.62550000000000006</v>
          </cell>
          <cell r="Y8">
            <v>0.65049999999999997</v>
          </cell>
          <cell r="Z8">
            <v>0.6765000000000001</v>
          </cell>
          <cell r="AA8">
            <v>0.70366666666666666</v>
          </cell>
          <cell r="AB8">
            <v>0.73183333333333322</v>
          </cell>
          <cell r="AC8">
            <v>0.7609999999999999</v>
          </cell>
          <cell r="AD8">
            <v>0.79149999999999998</v>
          </cell>
        </row>
        <row r="9">
          <cell r="M9" t="str">
            <v>Rubber Mold</v>
          </cell>
          <cell r="N9">
            <v>0.3</v>
          </cell>
          <cell r="O9">
            <v>0.34010000000000001</v>
          </cell>
          <cell r="P9">
            <v>0.35883333333333334</v>
          </cell>
          <cell r="Q9">
            <v>0.374</v>
          </cell>
          <cell r="R9">
            <v>0.38516666666666666</v>
          </cell>
          <cell r="S9">
            <v>0.40850000000000003</v>
          </cell>
          <cell r="T9">
            <v>0.42066666666666663</v>
          </cell>
          <cell r="U9">
            <v>0.43333333333333335</v>
          </cell>
          <cell r="V9">
            <v>0.45066666666666666</v>
          </cell>
          <cell r="W9">
            <v>0.46866666666666668</v>
          </cell>
          <cell r="X9">
            <v>0.48749999999999999</v>
          </cell>
          <cell r="Y9">
            <v>0.50700000000000001</v>
          </cell>
          <cell r="Z9">
            <v>0.52716666666666667</v>
          </cell>
          <cell r="AA9">
            <v>0.54833333333333334</v>
          </cell>
          <cell r="AB9">
            <v>0.57033333333333336</v>
          </cell>
          <cell r="AC9">
            <v>0.59299999999999997</v>
          </cell>
          <cell r="AD9">
            <v>0.61683333333333334</v>
          </cell>
        </row>
        <row r="10">
          <cell r="M10" t="str">
            <v>Plastic Injection Mold</v>
          </cell>
          <cell r="N10">
            <v>0.37</v>
          </cell>
          <cell r="O10">
            <v>0.2883</v>
          </cell>
          <cell r="P10">
            <v>0.46183333333333337</v>
          </cell>
          <cell r="Q10">
            <v>0.3</v>
          </cell>
          <cell r="R10">
            <v>0.309</v>
          </cell>
          <cell r="S10">
            <v>0.40850000000000003</v>
          </cell>
          <cell r="T10">
            <v>0.42066666666666663</v>
          </cell>
          <cell r="U10">
            <v>0.43333333333333335</v>
          </cell>
          <cell r="V10">
            <v>0.45066666666666666</v>
          </cell>
          <cell r="W10">
            <v>0.46866666666666668</v>
          </cell>
          <cell r="X10">
            <v>0.48749999999999999</v>
          </cell>
          <cell r="Y10">
            <v>0.50700000000000001</v>
          </cell>
          <cell r="Z10">
            <v>0.52716666666666667</v>
          </cell>
          <cell r="AA10">
            <v>0.54833333333333334</v>
          </cell>
          <cell r="AB10">
            <v>0.57033333333333336</v>
          </cell>
          <cell r="AC10">
            <v>0.59299999999999997</v>
          </cell>
          <cell r="AD10">
            <v>0.61683333333333334</v>
          </cell>
        </row>
        <row r="11">
          <cell r="M11" t="str">
            <v>Plastic Compression Mold</v>
          </cell>
          <cell r="N11">
            <v>0.28000000000000003</v>
          </cell>
          <cell r="O11">
            <v>0.30050000000000004</v>
          </cell>
          <cell r="P11">
            <v>0.30050000000000004</v>
          </cell>
          <cell r="Q11">
            <v>0.39566666666666667</v>
          </cell>
          <cell r="R11">
            <v>0.40749999999999997</v>
          </cell>
          <cell r="S11">
            <v>0.40599999999999997</v>
          </cell>
          <cell r="T11">
            <v>0.41833333333333333</v>
          </cell>
          <cell r="U11">
            <v>0.43083333333333335</v>
          </cell>
          <cell r="V11">
            <v>0.44800000000000001</v>
          </cell>
          <cell r="W11">
            <v>0.46600000000000003</v>
          </cell>
          <cell r="X11">
            <v>0.48466666666666663</v>
          </cell>
          <cell r="Y11">
            <v>0.504</v>
          </cell>
          <cell r="Z11">
            <v>0.52416666666666667</v>
          </cell>
          <cell r="AA11">
            <v>0.54516666666666669</v>
          </cell>
          <cell r="AB11">
            <v>0.5668333333333333</v>
          </cell>
          <cell r="AC11">
            <v>0.58966666666666667</v>
          </cell>
          <cell r="AD11">
            <v>0.61316666666666664</v>
          </cell>
        </row>
        <row r="12">
          <cell r="M12" t="str">
            <v>Assembly, Die Punch, Deburr</v>
          </cell>
          <cell r="N12">
            <v>0.27</v>
          </cell>
          <cell r="O12">
            <v>0.32369999999999999</v>
          </cell>
          <cell r="P12">
            <v>0.32366666666666671</v>
          </cell>
          <cell r="Q12">
            <v>0.37116666666666664</v>
          </cell>
          <cell r="R12">
            <v>0.38233333333333336</v>
          </cell>
          <cell r="S12">
            <v>0.41233333333333333</v>
          </cell>
          <cell r="T12">
            <v>0.42466666666666669</v>
          </cell>
          <cell r="U12">
            <v>0.4375</v>
          </cell>
          <cell r="V12">
            <v>0.45500000000000002</v>
          </cell>
          <cell r="W12">
            <v>0.47316666666666668</v>
          </cell>
          <cell r="X12">
            <v>0.4921666666666667</v>
          </cell>
          <cell r="Y12">
            <v>0.51183333333333336</v>
          </cell>
          <cell r="Z12">
            <v>0.53233333333333333</v>
          </cell>
          <cell r="AA12">
            <v>0.55349999999999999</v>
          </cell>
          <cell r="AB12">
            <v>0.57566666666666666</v>
          </cell>
          <cell r="AC12">
            <v>0.59866666666666668</v>
          </cell>
          <cell r="AD12">
            <v>0.6226666666666667</v>
          </cell>
        </row>
        <row r="13">
          <cell r="M13" t="str">
            <v>Quality Inspection</v>
          </cell>
          <cell r="N13">
            <v>0.53</v>
          </cell>
          <cell r="O13">
            <v>0</v>
          </cell>
          <cell r="P13">
            <v>0</v>
          </cell>
          <cell r="Q13">
            <v>0.61199999999999999</v>
          </cell>
          <cell r="R13">
            <v>0.6303333333333333</v>
          </cell>
          <cell r="S13">
            <v>0.65549999999999997</v>
          </cell>
          <cell r="T13">
            <v>0.68183333333333329</v>
          </cell>
          <cell r="U13">
            <v>0.71583333333333343</v>
          </cell>
          <cell r="V13">
            <v>0.75166666666666671</v>
          </cell>
          <cell r="W13">
            <v>0.78916666666666668</v>
          </cell>
          <cell r="X13">
            <v>0.82862500000000006</v>
          </cell>
          <cell r="Y13">
            <v>0.87005625000000009</v>
          </cell>
          <cell r="Z13">
            <v>0.91355906250000007</v>
          </cell>
          <cell r="AA13">
            <v>0.95923701562500008</v>
          </cell>
          <cell r="AB13">
            <v>1.0071988664062501</v>
          </cell>
          <cell r="AC13">
            <v>1.0575588097265627</v>
          </cell>
          <cell r="AD13">
            <v>1.1104367502128909</v>
          </cell>
        </row>
        <row r="14">
          <cell r="M14" t="str">
            <v>ID &amp; Pack</v>
          </cell>
          <cell r="N14">
            <v>0.25</v>
          </cell>
          <cell r="O14">
            <v>0</v>
          </cell>
          <cell r="P14">
            <v>0</v>
          </cell>
          <cell r="Q14">
            <v>0.35433333333333333</v>
          </cell>
          <cell r="R14">
            <v>0.36483333333333334</v>
          </cell>
          <cell r="S14">
            <v>0.3795</v>
          </cell>
          <cell r="T14">
            <v>0.39466666666666667</v>
          </cell>
          <cell r="U14">
            <v>0.41450000000000004</v>
          </cell>
          <cell r="V14">
            <v>0.43516666666666665</v>
          </cell>
          <cell r="W14">
            <v>0.45683333333333331</v>
          </cell>
          <cell r="X14">
            <v>0.47967500000000002</v>
          </cell>
          <cell r="Y14">
            <v>0.50365875000000004</v>
          </cell>
          <cell r="Z14">
            <v>0.52884168750000005</v>
          </cell>
          <cell r="AA14">
            <v>0.55528377187500011</v>
          </cell>
          <cell r="AB14">
            <v>0.58304796046875018</v>
          </cell>
          <cell r="AC14">
            <v>0.61220035849218768</v>
          </cell>
          <cell r="AD14">
            <v>0.64281037641679706</v>
          </cell>
        </row>
        <row r="15">
          <cell r="M15" t="str">
            <v>Mill/Turn</v>
          </cell>
          <cell r="N15">
            <v>0.46</v>
          </cell>
          <cell r="O15">
            <v>0.46900000000000003</v>
          </cell>
          <cell r="P15">
            <v>0.45866666666666667</v>
          </cell>
          <cell r="Q15">
            <v>0.45450000000000002</v>
          </cell>
          <cell r="R15">
            <v>0.46816666666666668</v>
          </cell>
          <cell r="S15">
            <v>0.52416666666666667</v>
          </cell>
          <cell r="T15">
            <v>0.53983333333333339</v>
          </cell>
          <cell r="U15">
            <v>0.55616666666666659</v>
          </cell>
          <cell r="V15">
            <v>0.57833333333333337</v>
          </cell>
          <cell r="W15">
            <v>0.60150000000000003</v>
          </cell>
          <cell r="X15">
            <v>0.62550000000000006</v>
          </cell>
          <cell r="Y15">
            <v>0.65049999999999997</v>
          </cell>
          <cell r="Z15">
            <v>0.6765000000000001</v>
          </cell>
          <cell r="AA15">
            <v>0.70366666666666666</v>
          </cell>
          <cell r="AB15">
            <v>0.73183333333333322</v>
          </cell>
          <cell r="AC15">
            <v>0.7609999999999999</v>
          </cell>
          <cell r="AD15">
            <v>0.79149999999999998</v>
          </cell>
        </row>
        <row r="16">
          <cell r="M16" t="str">
            <v>Waterjet - Setup</v>
          </cell>
          <cell r="N16">
            <v>0.46</v>
          </cell>
          <cell r="O16">
            <v>0.46900000000000003</v>
          </cell>
          <cell r="P16">
            <v>0.45866666666666667</v>
          </cell>
          <cell r="Q16">
            <v>0.45450000000000002</v>
          </cell>
          <cell r="R16">
            <v>0.46816666666666668</v>
          </cell>
          <cell r="S16">
            <v>0.52416666666666667</v>
          </cell>
          <cell r="T16">
            <v>0.53983333333333339</v>
          </cell>
          <cell r="U16">
            <v>0.55616666666666659</v>
          </cell>
          <cell r="V16">
            <v>0.57833333333333337</v>
          </cell>
          <cell r="W16">
            <v>0.60150000000000003</v>
          </cell>
          <cell r="X16">
            <v>0.62550000000000006</v>
          </cell>
          <cell r="Y16">
            <v>0.65049999999999997</v>
          </cell>
          <cell r="Z16">
            <v>0.6765000000000001</v>
          </cell>
          <cell r="AA16">
            <v>0.70366666666666666</v>
          </cell>
          <cell r="AB16">
            <v>0.73183333333333322</v>
          </cell>
          <cell r="AC16">
            <v>0.7609999999999999</v>
          </cell>
          <cell r="AD16">
            <v>0.79149999999999998</v>
          </cell>
        </row>
        <row r="17">
          <cell r="M17" t="str">
            <v>Waterjet - Operator</v>
          </cell>
          <cell r="N17">
            <v>0.3</v>
          </cell>
          <cell r="O17">
            <v>0.46900000000000003</v>
          </cell>
          <cell r="P17">
            <v>0.45866666666666667</v>
          </cell>
          <cell r="Q17">
            <v>0.45450000000000002</v>
          </cell>
          <cell r="R17">
            <v>0.46816666666666668</v>
          </cell>
          <cell r="S17">
            <v>0.52416666666666667</v>
          </cell>
          <cell r="T17">
            <v>0.53983333333333339</v>
          </cell>
          <cell r="U17">
            <v>0.55616666666666659</v>
          </cell>
          <cell r="V17">
            <v>0.57833333333333337</v>
          </cell>
          <cell r="W17">
            <v>0.60150000000000003</v>
          </cell>
          <cell r="X17">
            <v>0.62550000000000006</v>
          </cell>
          <cell r="Y17">
            <v>0.65049999999999997</v>
          </cell>
          <cell r="Z17">
            <v>0.6765000000000001</v>
          </cell>
          <cell r="AA17">
            <v>0.70366666666666666</v>
          </cell>
          <cell r="AB17">
            <v>0.73183333333333322</v>
          </cell>
          <cell r="AC17">
            <v>0.7609999999999999</v>
          </cell>
          <cell r="AD17">
            <v>0.79149999999999998</v>
          </cell>
        </row>
        <row r="18">
          <cell r="M18" t="str">
            <v>Calendering</v>
          </cell>
          <cell r="N18">
            <v>0.3</v>
          </cell>
          <cell r="O18">
            <v>0.34010000000000001</v>
          </cell>
          <cell r="P18">
            <v>0.35883333333333334</v>
          </cell>
          <cell r="Q18">
            <v>0.374</v>
          </cell>
          <cell r="R18">
            <v>0.38516666666666666</v>
          </cell>
          <cell r="S18">
            <v>0.40850000000000003</v>
          </cell>
          <cell r="T18">
            <v>0.42066666666666663</v>
          </cell>
          <cell r="U18">
            <v>0.43333333333333335</v>
          </cell>
          <cell r="V18">
            <v>0.45066666666666666</v>
          </cell>
          <cell r="W18">
            <v>0.46866666666666668</v>
          </cell>
          <cell r="X18">
            <v>0.48749999999999999</v>
          </cell>
          <cell r="Y18">
            <v>0.50700000000000001</v>
          </cell>
          <cell r="Z18">
            <v>0.52716666666666667</v>
          </cell>
          <cell r="AA18">
            <v>0.54833333333333334</v>
          </cell>
          <cell r="AB18">
            <v>0.57033333333333336</v>
          </cell>
          <cell r="AC18">
            <v>0.59299999999999997</v>
          </cell>
          <cell r="AD18">
            <v>0.61683333333333334</v>
          </cell>
        </row>
        <row r="19">
          <cell r="M19" t="str">
            <v>Fabric Priming</v>
          </cell>
          <cell r="N19">
            <v>0.3</v>
          </cell>
          <cell r="O19">
            <v>0.34010000000000001</v>
          </cell>
          <cell r="P19">
            <v>0.35883333333333334</v>
          </cell>
          <cell r="Q19">
            <v>0.374</v>
          </cell>
          <cell r="R19">
            <v>0.38516666666666666</v>
          </cell>
          <cell r="S19">
            <v>0.40850000000000003</v>
          </cell>
          <cell r="T19">
            <v>0.42066666666666663</v>
          </cell>
          <cell r="U19">
            <v>0.43333333333333335</v>
          </cell>
          <cell r="V19">
            <v>0.45066666666666666</v>
          </cell>
          <cell r="W19">
            <v>0.46866666666666668</v>
          </cell>
          <cell r="X19">
            <v>0.48749999999999999</v>
          </cell>
          <cell r="Y19">
            <v>0.50700000000000001</v>
          </cell>
          <cell r="Z19">
            <v>0.52716666666666667</v>
          </cell>
          <cell r="AA19">
            <v>0.54833333333333334</v>
          </cell>
          <cell r="AB19">
            <v>0.57033333333333336</v>
          </cell>
          <cell r="AC19">
            <v>0.59299999999999997</v>
          </cell>
          <cell r="AD19">
            <v>0.61683333333333334</v>
          </cell>
        </row>
        <row r="20">
          <cell r="M20" t="str">
            <v>Hand Cutting</v>
          </cell>
          <cell r="N20">
            <v>0.3</v>
          </cell>
          <cell r="O20">
            <v>0.34010000000000001</v>
          </cell>
          <cell r="P20">
            <v>0.35883333333333334</v>
          </cell>
          <cell r="Q20">
            <v>0.374</v>
          </cell>
          <cell r="R20">
            <v>0.38516666666666666</v>
          </cell>
          <cell r="S20">
            <v>0.40850000000000003</v>
          </cell>
          <cell r="T20">
            <v>0.42066666666666663</v>
          </cell>
          <cell r="U20">
            <v>0.43333333333333335</v>
          </cell>
          <cell r="V20">
            <v>0.45066666666666666</v>
          </cell>
          <cell r="W20">
            <v>0.46866666666666668</v>
          </cell>
          <cell r="X20">
            <v>0.48749999999999999</v>
          </cell>
          <cell r="Y20">
            <v>0.50700000000000001</v>
          </cell>
          <cell r="Z20">
            <v>0.52716666666666667</v>
          </cell>
          <cell r="AA20">
            <v>0.54833333333333334</v>
          </cell>
          <cell r="AB20">
            <v>0.57033333333333336</v>
          </cell>
          <cell r="AC20">
            <v>0.59299999999999997</v>
          </cell>
          <cell r="AD20">
            <v>0.61683333333333334</v>
          </cell>
        </row>
        <row r="21">
          <cell r="M21" t="str">
            <v>CNC Cutting (Gunnar)</v>
          </cell>
          <cell r="N21">
            <v>0.3</v>
          </cell>
          <cell r="O21">
            <v>0.34010000000000001</v>
          </cell>
          <cell r="P21">
            <v>0.35883333333333334</v>
          </cell>
          <cell r="Q21">
            <v>0.374</v>
          </cell>
          <cell r="R21">
            <v>0.38516666666666666</v>
          </cell>
          <cell r="S21">
            <v>0.40850000000000003</v>
          </cell>
          <cell r="T21">
            <v>0.42066666666666663</v>
          </cell>
          <cell r="U21">
            <v>0.43333333333333335</v>
          </cell>
          <cell r="V21">
            <v>0.45066666666666666</v>
          </cell>
          <cell r="W21">
            <v>0.46866666666666668</v>
          </cell>
          <cell r="X21">
            <v>0.48749999999999999</v>
          </cell>
          <cell r="Y21">
            <v>0.50700000000000001</v>
          </cell>
          <cell r="Z21">
            <v>0.52716666666666667</v>
          </cell>
          <cell r="AA21">
            <v>0.54833333333333334</v>
          </cell>
          <cell r="AB21">
            <v>0.57033333333333336</v>
          </cell>
          <cell r="AC21">
            <v>0.59299999999999997</v>
          </cell>
          <cell r="AD21">
            <v>0.61683333333333334</v>
          </cell>
        </row>
        <row r="22">
          <cell r="M22" t="str">
            <v>Extruding</v>
          </cell>
          <cell r="N22">
            <v>0.3</v>
          </cell>
          <cell r="O22">
            <v>0.34010000000000001</v>
          </cell>
          <cell r="P22">
            <v>0.35883333333333334</v>
          </cell>
          <cell r="Q22">
            <v>0.374</v>
          </cell>
          <cell r="R22">
            <v>0.38516666666666666</v>
          </cell>
          <cell r="S22">
            <v>0.40850000000000003</v>
          </cell>
          <cell r="T22">
            <v>0.42066666666666663</v>
          </cell>
          <cell r="U22">
            <v>0.43333333333333335</v>
          </cell>
          <cell r="V22">
            <v>0.45066666666666666</v>
          </cell>
          <cell r="W22">
            <v>0.46866666666666668</v>
          </cell>
          <cell r="X22">
            <v>0.48749999999999999</v>
          </cell>
          <cell r="Y22">
            <v>0.50700000000000001</v>
          </cell>
          <cell r="Z22">
            <v>0.52716666666666667</v>
          </cell>
          <cell r="AA22">
            <v>0.54833333333333334</v>
          </cell>
          <cell r="AB22">
            <v>0.57033333333333336</v>
          </cell>
          <cell r="AC22">
            <v>0.59299999999999997</v>
          </cell>
          <cell r="AD22">
            <v>0.61683333333333334</v>
          </cell>
        </row>
        <row r="23">
          <cell r="M23" t="str">
            <v>Insert Prep (Sand/Degrease/Prime)</v>
          </cell>
          <cell r="N23">
            <v>0.3</v>
          </cell>
          <cell r="O23">
            <v>0.34010000000000001</v>
          </cell>
          <cell r="P23">
            <v>0.35883333333333334</v>
          </cell>
          <cell r="Q23">
            <v>0.374</v>
          </cell>
          <cell r="R23">
            <v>0.38516666666666666</v>
          </cell>
          <cell r="S23">
            <v>0.40850000000000003</v>
          </cell>
          <cell r="T23">
            <v>0.42066666666666663</v>
          </cell>
          <cell r="U23">
            <v>0.43333333333333335</v>
          </cell>
          <cell r="V23">
            <v>0.45066666666666666</v>
          </cell>
          <cell r="W23">
            <v>0.46866666666666668</v>
          </cell>
          <cell r="X23">
            <v>0.48749999999999999</v>
          </cell>
          <cell r="Y23">
            <v>0.50700000000000001</v>
          </cell>
          <cell r="Z23">
            <v>0.52716666666666667</v>
          </cell>
          <cell r="AA23">
            <v>0.54833333333333334</v>
          </cell>
          <cell r="AB23">
            <v>0.57033333333333336</v>
          </cell>
          <cell r="AC23">
            <v>0.59299999999999997</v>
          </cell>
          <cell r="AD23">
            <v>0.61683333333333334</v>
          </cell>
        </row>
        <row r="24">
          <cell r="M24" t="str">
            <v>Press Setup</v>
          </cell>
          <cell r="N24">
            <v>0.3</v>
          </cell>
          <cell r="O24">
            <v>0.34010000000000001</v>
          </cell>
          <cell r="P24">
            <v>0.35883333333333334</v>
          </cell>
          <cell r="Q24">
            <v>0.374</v>
          </cell>
          <cell r="R24">
            <v>0.38516666666666666</v>
          </cell>
          <cell r="S24">
            <v>0.40850000000000003</v>
          </cell>
          <cell r="T24">
            <v>0.42066666666666663</v>
          </cell>
          <cell r="U24">
            <v>0.43333333333333335</v>
          </cell>
          <cell r="V24">
            <v>0.45066666666666666</v>
          </cell>
          <cell r="W24">
            <v>0.46866666666666668</v>
          </cell>
          <cell r="X24">
            <v>0.48749999999999999</v>
          </cell>
          <cell r="Y24">
            <v>0.50700000000000001</v>
          </cell>
          <cell r="Z24">
            <v>0.52716666666666667</v>
          </cell>
          <cell r="AA24">
            <v>0.54833333333333334</v>
          </cell>
          <cell r="AB24">
            <v>0.57033333333333336</v>
          </cell>
          <cell r="AC24">
            <v>0.59299999999999997</v>
          </cell>
          <cell r="AD24">
            <v>0.61683333333333334</v>
          </cell>
        </row>
        <row r="25">
          <cell r="M25" t="str">
            <v>Layup</v>
          </cell>
          <cell r="N25">
            <v>0.3</v>
          </cell>
          <cell r="O25">
            <v>0.34010000000000001</v>
          </cell>
          <cell r="P25">
            <v>0.35883333333333334</v>
          </cell>
          <cell r="Q25">
            <v>0.374</v>
          </cell>
          <cell r="R25">
            <v>0.38516666666666666</v>
          </cell>
          <cell r="S25">
            <v>0.40850000000000003</v>
          </cell>
          <cell r="T25">
            <v>0.42066666666666663</v>
          </cell>
          <cell r="U25">
            <v>0.43333333333333335</v>
          </cell>
          <cell r="V25">
            <v>0.45066666666666666</v>
          </cell>
          <cell r="W25">
            <v>0.46866666666666668</v>
          </cell>
          <cell r="X25">
            <v>0.48749999999999999</v>
          </cell>
          <cell r="Y25">
            <v>0.50700000000000001</v>
          </cell>
          <cell r="Z25">
            <v>0.52716666666666667</v>
          </cell>
          <cell r="AA25">
            <v>0.54833333333333334</v>
          </cell>
          <cell r="AB25">
            <v>0.57033333333333336</v>
          </cell>
          <cell r="AC25">
            <v>0.59299999999999997</v>
          </cell>
          <cell r="AD25">
            <v>0.61683333333333334</v>
          </cell>
        </row>
        <row r="26">
          <cell r="M26" t="str">
            <v>Cure</v>
          </cell>
          <cell r="N26">
            <v>0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  <cell r="S26">
            <v>0</v>
          </cell>
          <cell r="T26">
            <v>0</v>
          </cell>
          <cell r="U26">
            <v>0</v>
          </cell>
          <cell r="V26">
            <v>0</v>
          </cell>
          <cell r="W26">
            <v>0</v>
          </cell>
          <cell r="X26">
            <v>0</v>
          </cell>
          <cell r="Y26">
            <v>0</v>
          </cell>
          <cell r="Z26">
            <v>0</v>
          </cell>
          <cell r="AA26">
            <v>0</v>
          </cell>
          <cell r="AB26">
            <v>0</v>
          </cell>
          <cell r="AC26">
            <v>0</v>
          </cell>
          <cell r="AD26">
            <v>0</v>
          </cell>
        </row>
        <row r="27">
          <cell r="M27" t="str">
            <v>Detool + Chilling</v>
          </cell>
          <cell r="N27">
            <v>0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  <cell r="S27">
            <v>0</v>
          </cell>
          <cell r="T27">
            <v>0</v>
          </cell>
          <cell r="U27">
            <v>0</v>
          </cell>
          <cell r="V27">
            <v>0</v>
          </cell>
          <cell r="W27">
            <v>0</v>
          </cell>
          <cell r="X27">
            <v>0</v>
          </cell>
          <cell r="Y27">
            <v>0</v>
          </cell>
          <cell r="Z27">
            <v>0</v>
          </cell>
          <cell r="AA27">
            <v>0</v>
          </cell>
          <cell r="AB27">
            <v>0</v>
          </cell>
          <cell r="AC27">
            <v>0</v>
          </cell>
          <cell r="AD27">
            <v>0</v>
          </cell>
        </row>
        <row r="28">
          <cell r="M28" t="str">
            <v>Deflash/Trim</v>
          </cell>
          <cell r="N28">
            <v>0.3</v>
          </cell>
          <cell r="O28">
            <v>0.34010000000000001</v>
          </cell>
          <cell r="P28">
            <v>0.35883333333333334</v>
          </cell>
          <cell r="Q28">
            <v>0.374</v>
          </cell>
          <cell r="R28">
            <v>0.38516666666666666</v>
          </cell>
          <cell r="S28">
            <v>0.40850000000000003</v>
          </cell>
          <cell r="T28">
            <v>0.42066666666666663</v>
          </cell>
          <cell r="U28">
            <v>0.43333333333333335</v>
          </cell>
          <cell r="V28">
            <v>0.45066666666666666</v>
          </cell>
          <cell r="W28">
            <v>0.46866666666666668</v>
          </cell>
          <cell r="X28">
            <v>0.48749999999999999</v>
          </cell>
          <cell r="Y28">
            <v>0.50700000000000001</v>
          </cell>
          <cell r="Z28">
            <v>0.52716666666666667</v>
          </cell>
          <cell r="AA28">
            <v>0.54833333333333334</v>
          </cell>
          <cell r="AB28">
            <v>0.57033333333333336</v>
          </cell>
          <cell r="AC28">
            <v>0.59299999999999997</v>
          </cell>
          <cell r="AD28">
            <v>0.61683333333333334</v>
          </cell>
        </row>
        <row r="29">
          <cell r="M29" t="str">
            <v>Setup (Supervisor)</v>
          </cell>
          <cell r="N29">
            <v>0.3</v>
          </cell>
          <cell r="O29">
            <v>0.34010000000000001</v>
          </cell>
          <cell r="P29">
            <v>0.35883333333333334</v>
          </cell>
          <cell r="Q29">
            <v>0.374</v>
          </cell>
          <cell r="R29">
            <v>0.38516666666666666</v>
          </cell>
          <cell r="S29">
            <v>0.40850000000000003</v>
          </cell>
          <cell r="T29">
            <v>0.42066666666666663</v>
          </cell>
          <cell r="U29">
            <v>0.43333333333333335</v>
          </cell>
          <cell r="V29">
            <v>0.45066666666666666</v>
          </cell>
          <cell r="W29">
            <v>0.46866666666666668</v>
          </cell>
          <cell r="X29">
            <v>0.48749999999999999</v>
          </cell>
          <cell r="Y29">
            <v>0.50700000000000001</v>
          </cell>
          <cell r="Z29">
            <v>0.52716666666666667</v>
          </cell>
          <cell r="AA29">
            <v>0.54833333333333334</v>
          </cell>
          <cell r="AB29">
            <v>0.57033333333333336</v>
          </cell>
          <cell r="AC29">
            <v>0.59299999999999997</v>
          </cell>
          <cell r="AD29">
            <v>0.61683333333333334</v>
          </cell>
        </row>
        <row r="30">
          <cell r="M30" t="str">
            <v>Testing</v>
          </cell>
          <cell r="N30">
            <v>0.53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  <cell r="S30">
            <v>0</v>
          </cell>
          <cell r="T30">
            <v>0</v>
          </cell>
          <cell r="U30">
            <v>0</v>
          </cell>
          <cell r="V30">
            <v>0</v>
          </cell>
          <cell r="W30">
            <v>1</v>
          </cell>
          <cell r="X30">
            <v>2</v>
          </cell>
          <cell r="Y30">
            <v>3</v>
          </cell>
          <cell r="Z30">
            <v>4</v>
          </cell>
          <cell r="AA30">
            <v>5</v>
          </cell>
          <cell r="AB30">
            <v>6</v>
          </cell>
          <cell r="AC30">
            <v>7</v>
          </cell>
          <cell r="AD30">
            <v>8</v>
          </cell>
        </row>
        <row r="31">
          <cell r="M31" t="str">
            <v>Loading</v>
          </cell>
          <cell r="N31">
            <v>0.3</v>
          </cell>
          <cell r="O31">
            <v>0.34010000000000001</v>
          </cell>
          <cell r="P31">
            <v>0.35883333333333334</v>
          </cell>
          <cell r="Q31">
            <v>0.374</v>
          </cell>
          <cell r="R31">
            <v>0.38516666666666666</v>
          </cell>
          <cell r="S31">
            <v>0.40850000000000003</v>
          </cell>
          <cell r="T31">
            <v>0.42066666666666663</v>
          </cell>
          <cell r="U31">
            <v>0.43333333333333335</v>
          </cell>
          <cell r="V31">
            <v>0.45066666666666666</v>
          </cell>
          <cell r="W31">
            <v>0.46866666666666668</v>
          </cell>
          <cell r="X31">
            <v>0.48749999999999999</v>
          </cell>
          <cell r="Y31">
            <v>0.50700000000000001</v>
          </cell>
          <cell r="Z31">
            <v>0.52716666666666667</v>
          </cell>
          <cell r="AA31">
            <v>0.54833333333333334</v>
          </cell>
          <cell r="AB31">
            <v>0.57033333333333336</v>
          </cell>
          <cell r="AC31">
            <v>0.59299999999999997</v>
          </cell>
          <cell r="AD31">
            <v>0.61683333333333334</v>
          </cell>
        </row>
        <row r="32">
          <cell r="M32" t="str">
            <v>Die Punch</v>
          </cell>
          <cell r="N32">
            <v>0.3</v>
          </cell>
          <cell r="O32">
            <v>0.34010000000000001</v>
          </cell>
          <cell r="P32">
            <v>0.35883333333333334</v>
          </cell>
          <cell r="Q32">
            <v>0.374</v>
          </cell>
          <cell r="R32">
            <v>0.38516666666666666</v>
          </cell>
          <cell r="S32">
            <v>0.40850000000000003</v>
          </cell>
          <cell r="T32">
            <v>0.42066666666666663</v>
          </cell>
          <cell r="U32">
            <v>0.43333333333333335</v>
          </cell>
          <cell r="V32">
            <v>0.45066666666666666</v>
          </cell>
          <cell r="W32">
            <v>0.46866666666666668</v>
          </cell>
          <cell r="X32">
            <v>0.48749999999999999</v>
          </cell>
          <cell r="Y32">
            <v>0.50700000000000001</v>
          </cell>
          <cell r="Z32">
            <v>0.52716666666666667</v>
          </cell>
          <cell r="AA32">
            <v>0.54833333333333334</v>
          </cell>
          <cell r="AB32">
            <v>0.57033333333333336</v>
          </cell>
          <cell r="AC32">
            <v>0.59299999999999997</v>
          </cell>
          <cell r="AD32">
            <v>0.61683333333333334</v>
          </cell>
        </row>
        <row r="33">
          <cell r="M33" t="str">
            <v>Milling</v>
          </cell>
          <cell r="N33">
            <v>0.3</v>
          </cell>
          <cell r="O33">
            <v>0.34010000000000001</v>
          </cell>
          <cell r="P33">
            <v>0.35883333333333334</v>
          </cell>
          <cell r="Q33">
            <v>0.374</v>
          </cell>
          <cell r="R33">
            <v>0.38516666666666666</v>
          </cell>
          <cell r="S33">
            <v>0.40850000000000003</v>
          </cell>
          <cell r="T33">
            <v>0.42066666666666663</v>
          </cell>
          <cell r="U33">
            <v>0.43333333333333335</v>
          </cell>
          <cell r="V33">
            <v>0.45066666666666666</v>
          </cell>
          <cell r="W33">
            <v>0.46866666666666668</v>
          </cell>
          <cell r="X33">
            <v>0.48749999999999999</v>
          </cell>
          <cell r="Y33">
            <v>0.50700000000000001</v>
          </cell>
          <cell r="Z33">
            <v>0.52716666666666667</v>
          </cell>
          <cell r="AA33">
            <v>0.54833333333333334</v>
          </cell>
          <cell r="AB33">
            <v>0.57033333333333336</v>
          </cell>
          <cell r="AC33">
            <v>0.59299999999999997</v>
          </cell>
          <cell r="AD33">
            <v>0.61683333333333334</v>
          </cell>
        </row>
        <row r="34">
          <cell r="M34" t="str">
            <v>Admin/Setup</v>
          </cell>
          <cell r="N34">
            <v>0.3</v>
          </cell>
          <cell r="O34">
            <v>0.34010000000000001</v>
          </cell>
          <cell r="P34">
            <v>0.35883333333333334</v>
          </cell>
          <cell r="Q34">
            <v>0.374</v>
          </cell>
          <cell r="R34">
            <v>0.38516666666666666</v>
          </cell>
          <cell r="S34">
            <v>0.40850000000000003</v>
          </cell>
          <cell r="T34">
            <v>0.42066666666666663</v>
          </cell>
          <cell r="U34">
            <v>0.43333333333333335</v>
          </cell>
          <cell r="V34">
            <v>0.45066666666666666</v>
          </cell>
          <cell r="W34">
            <v>0.46866666666666668</v>
          </cell>
          <cell r="X34">
            <v>0.48749999999999999</v>
          </cell>
          <cell r="Y34">
            <v>0.50700000000000001</v>
          </cell>
          <cell r="Z34">
            <v>0.52716666666666667</v>
          </cell>
          <cell r="AA34">
            <v>0.54833333333333334</v>
          </cell>
          <cell r="AB34">
            <v>0.57033333333333336</v>
          </cell>
          <cell r="AC34">
            <v>0.59299999999999997</v>
          </cell>
          <cell r="AD34">
            <v>0.61683333333333334</v>
          </cell>
        </row>
        <row r="35">
          <cell r="M35" t="str">
            <v>Splicing</v>
          </cell>
          <cell r="N35">
            <v>0.3</v>
          </cell>
          <cell r="O35">
            <v>0.34010000000000001</v>
          </cell>
          <cell r="P35">
            <v>0.35883333333333334</v>
          </cell>
          <cell r="Q35">
            <v>0.374</v>
          </cell>
          <cell r="R35">
            <v>0.38516666666666666</v>
          </cell>
          <cell r="S35">
            <v>0.40850000000000003</v>
          </cell>
          <cell r="T35">
            <v>0.42066666666666663</v>
          </cell>
          <cell r="U35">
            <v>0.43333333333333335</v>
          </cell>
          <cell r="V35">
            <v>0.45066666666666666</v>
          </cell>
          <cell r="W35">
            <v>0.46866666666666668</v>
          </cell>
          <cell r="X35">
            <v>0.48749999999999999</v>
          </cell>
          <cell r="Y35">
            <v>0.50700000000000001</v>
          </cell>
          <cell r="Z35">
            <v>0.52716666666666667</v>
          </cell>
          <cell r="AA35">
            <v>0.54833333333333334</v>
          </cell>
          <cell r="AB35">
            <v>0.57033333333333336</v>
          </cell>
          <cell r="AC35">
            <v>0.59299999999999997</v>
          </cell>
          <cell r="AD35">
            <v>0.61683333333333334</v>
          </cell>
        </row>
        <row r="36">
          <cell r="M36" t="str">
            <v>Bond Room</v>
          </cell>
          <cell r="N36">
            <v>0.3</v>
          </cell>
          <cell r="O36">
            <v>0.34010000000000001</v>
          </cell>
          <cell r="P36">
            <v>0.35883333333333334</v>
          </cell>
          <cell r="Q36">
            <v>0.374</v>
          </cell>
          <cell r="R36">
            <v>0.38516666666666666</v>
          </cell>
          <cell r="S36">
            <v>0.40850000000000003</v>
          </cell>
          <cell r="T36">
            <v>0.42066666666666663</v>
          </cell>
          <cell r="U36">
            <v>0.43333333333333335</v>
          </cell>
          <cell r="V36">
            <v>0.45066666666666666</v>
          </cell>
          <cell r="W36">
            <v>0.46866666666666668</v>
          </cell>
          <cell r="X36">
            <v>0.48749999999999999</v>
          </cell>
          <cell r="Y36">
            <v>0.50700000000000001</v>
          </cell>
          <cell r="Z36">
            <v>0.52716666666666667</v>
          </cell>
          <cell r="AA36">
            <v>0.54833333333333334</v>
          </cell>
          <cell r="AB36">
            <v>0.57033333333333336</v>
          </cell>
          <cell r="AC36">
            <v>0.59299999999999997</v>
          </cell>
          <cell r="AD36">
            <v>0.61683333333333334</v>
          </cell>
        </row>
        <row r="37">
          <cell r="M37" t="str">
            <v>Quality</v>
          </cell>
          <cell r="N37">
            <v>0</v>
          </cell>
          <cell r="O37">
            <v>0</v>
          </cell>
          <cell r="P37">
            <v>0</v>
          </cell>
          <cell r="Q37">
            <v>0.61199999999999999</v>
          </cell>
          <cell r="R37">
            <v>0.6303333333333333</v>
          </cell>
          <cell r="S37">
            <v>0.65549999999999997</v>
          </cell>
          <cell r="T37">
            <v>0.68183333333333329</v>
          </cell>
          <cell r="U37">
            <v>0.71583333333333343</v>
          </cell>
          <cell r="V37">
            <v>0.75166666666666671</v>
          </cell>
          <cell r="W37">
            <v>0.78916666666666668</v>
          </cell>
          <cell r="X37">
            <v>0.82862500000000006</v>
          </cell>
          <cell r="Y37">
            <v>0.87005625000000009</v>
          </cell>
          <cell r="Z37">
            <v>0.91355906250000007</v>
          </cell>
          <cell r="AA37">
            <v>0.95923701562500008</v>
          </cell>
          <cell r="AB37">
            <v>1.0071988664062501</v>
          </cell>
          <cell r="AC37">
            <v>1.0575588097265627</v>
          </cell>
          <cell r="AD37">
            <v>1.1104367502128909</v>
          </cell>
        </row>
        <row r="38">
          <cell r="M38" t="str">
            <v>Burn Holes</v>
          </cell>
          <cell r="N38">
            <v>0.3</v>
          </cell>
          <cell r="O38">
            <v>0.34010000000000001</v>
          </cell>
          <cell r="P38">
            <v>0.35883333333333334</v>
          </cell>
          <cell r="Q38">
            <v>0.374</v>
          </cell>
          <cell r="R38">
            <v>0.38516666666666666</v>
          </cell>
          <cell r="S38">
            <v>0.40850000000000003</v>
          </cell>
          <cell r="T38">
            <v>0.42066666666666663</v>
          </cell>
          <cell r="U38">
            <v>0.43333333333333335</v>
          </cell>
          <cell r="V38">
            <v>0.45066666666666666</v>
          </cell>
          <cell r="W38">
            <v>0.46866666666666668</v>
          </cell>
          <cell r="X38">
            <v>0.48749999999999999</v>
          </cell>
          <cell r="Y38">
            <v>0.50700000000000001</v>
          </cell>
          <cell r="Z38">
            <v>0.52716666666666667</v>
          </cell>
          <cell r="AA38">
            <v>0.54833333333333334</v>
          </cell>
          <cell r="AB38">
            <v>0.57033333333333336</v>
          </cell>
          <cell r="AC38">
            <v>0.59299999999999997</v>
          </cell>
          <cell r="AD38">
            <v>0.61683333333333334</v>
          </cell>
        </row>
        <row r="39">
          <cell r="M39" t="str">
            <v>Heat Seal</v>
          </cell>
          <cell r="N39">
            <v>0.3</v>
          </cell>
          <cell r="O39">
            <v>0.34010000000000001</v>
          </cell>
          <cell r="P39">
            <v>0.35883333333333334</v>
          </cell>
          <cell r="Q39">
            <v>0.374</v>
          </cell>
          <cell r="R39">
            <v>0.38516666666666666</v>
          </cell>
          <cell r="S39">
            <v>0.40850000000000003</v>
          </cell>
          <cell r="T39">
            <v>0.42066666666666663</v>
          </cell>
          <cell r="U39">
            <v>0.43333333333333335</v>
          </cell>
          <cell r="V39">
            <v>0.45066666666666666</v>
          </cell>
          <cell r="W39">
            <v>0.46866666666666668</v>
          </cell>
          <cell r="X39">
            <v>0.48749999999999999</v>
          </cell>
          <cell r="Y39">
            <v>0.50700000000000001</v>
          </cell>
          <cell r="Z39">
            <v>0.52716666666666667</v>
          </cell>
          <cell r="AA39">
            <v>0.54833333333333334</v>
          </cell>
          <cell r="AB39">
            <v>0.57033333333333336</v>
          </cell>
          <cell r="AC39">
            <v>0.59299999999999997</v>
          </cell>
          <cell r="AD39">
            <v>0.61683333333333334</v>
          </cell>
        </row>
        <row r="40">
          <cell r="M40" t="str">
            <v>Burn Holes</v>
          </cell>
          <cell r="N40">
            <v>0.3</v>
          </cell>
          <cell r="O40">
            <v>0.34010000000000001</v>
          </cell>
          <cell r="P40">
            <v>0.35883333333333334</v>
          </cell>
          <cell r="Q40">
            <v>0.374</v>
          </cell>
          <cell r="R40">
            <v>0.38516666666666666</v>
          </cell>
          <cell r="S40">
            <v>0.40850000000000003</v>
          </cell>
          <cell r="T40">
            <v>0.42066666666666663</v>
          </cell>
          <cell r="U40">
            <v>0.43333333333333335</v>
          </cell>
          <cell r="V40">
            <v>0.45066666666666666</v>
          </cell>
          <cell r="W40">
            <v>0.46866666666666668</v>
          </cell>
          <cell r="X40">
            <v>0.48749999999999999</v>
          </cell>
          <cell r="Y40">
            <v>0.50700000000000001</v>
          </cell>
          <cell r="Z40">
            <v>0.52716666666666667</v>
          </cell>
          <cell r="AA40">
            <v>0.54833333333333334</v>
          </cell>
          <cell r="AB40">
            <v>0.57033333333333336</v>
          </cell>
          <cell r="AC40">
            <v>0.59299999999999997</v>
          </cell>
          <cell r="AD40">
            <v>0.61683333333333334</v>
          </cell>
        </row>
        <row r="41">
          <cell r="M41" t="str">
            <v>Heat Seal</v>
          </cell>
          <cell r="N41">
            <v>0.3</v>
          </cell>
          <cell r="O41">
            <v>0.34010000000000001</v>
          </cell>
          <cell r="P41">
            <v>0.35883333333333334</v>
          </cell>
          <cell r="Q41">
            <v>0.374</v>
          </cell>
          <cell r="R41">
            <v>0.38516666666666666</v>
          </cell>
          <cell r="S41">
            <v>0.40850000000000003</v>
          </cell>
          <cell r="T41">
            <v>0.42066666666666663</v>
          </cell>
          <cell r="U41">
            <v>0.43333333333333335</v>
          </cell>
          <cell r="V41">
            <v>0.45066666666666666</v>
          </cell>
          <cell r="W41">
            <v>0.46866666666666668</v>
          </cell>
          <cell r="X41">
            <v>0.48749999999999999</v>
          </cell>
          <cell r="Y41">
            <v>0.50700000000000001</v>
          </cell>
          <cell r="Z41">
            <v>0.52716666666666667</v>
          </cell>
          <cell r="AA41">
            <v>0.54833333333333334</v>
          </cell>
          <cell r="AB41">
            <v>0.57033333333333336</v>
          </cell>
          <cell r="AC41">
            <v>0.59299999999999997</v>
          </cell>
          <cell r="AD41">
            <v>0.61683333333333334</v>
          </cell>
        </row>
        <row r="42">
          <cell r="M42" t="str">
            <v>Mold/Tooling</v>
          </cell>
          <cell r="N42">
            <v>1</v>
          </cell>
          <cell r="O42">
            <v>1</v>
          </cell>
          <cell r="P42">
            <v>1</v>
          </cell>
          <cell r="Q42">
            <v>1</v>
          </cell>
          <cell r="R42">
            <v>1</v>
          </cell>
          <cell r="S42">
            <v>1</v>
          </cell>
          <cell r="T42">
            <v>1</v>
          </cell>
          <cell r="U42">
            <v>1</v>
          </cell>
          <cell r="V42">
            <v>1</v>
          </cell>
          <cell r="W42">
            <v>1</v>
          </cell>
          <cell r="X42">
            <v>1</v>
          </cell>
          <cell r="Y42">
            <v>1</v>
          </cell>
          <cell r="Z42">
            <v>1</v>
          </cell>
          <cell r="AA42">
            <v>1</v>
          </cell>
          <cell r="AB42">
            <v>1</v>
          </cell>
          <cell r="AC42">
            <v>1</v>
          </cell>
          <cell r="AD42">
            <v>1</v>
          </cell>
        </row>
        <row r="43">
          <cell r="M43" t="str">
            <v>Fixtures (Purchase)</v>
          </cell>
          <cell r="N43">
            <v>1</v>
          </cell>
          <cell r="O43">
            <v>1</v>
          </cell>
          <cell r="P43">
            <v>1</v>
          </cell>
          <cell r="Q43">
            <v>1</v>
          </cell>
          <cell r="R43">
            <v>1</v>
          </cell>
          <cell r="S43">
            <v>1</v>
          </cell>
          <cell r="T43">
            <v>1</v>
          </cell>
          <cell r="U43">
            <v>1</v>
          </cell>
          <cell r="V43">
            <v>1</v>
          </cell>
          <cell r="W43">
            <v>1</v>
          </cell>
          <cell r="X43">
            <v>1</v>
          </cell>
          <cell r="Y43">
            <v>1</v>
          </cell>
          <cell r="Z43">
            <v>1</v>
          </cell>
          <cell r="AA43">
            <v>1</v>
          </cell>
          <cell r="AB43">
            <v>1</v>
          </cell>
          <cell r="AC43">
            <v>1</v>
          </cell>
          <cell r="AD43">
            <v>1</v>
          </cell>
        </row>
        <row r="44">
          <cell r="M44" t="str">
            <v>Rubber Assembly</v>
          </cell>
          <cell r="N44">
            <v>0.3</v>
          </cell>
          <cell r="O44">
            <v>0.34010000000000001</v>
          </cell>
          <cell r="P44">
            <v>0.35883333333333334</v>
          </cell>
          <cell r="Q44">
            <v>0.374</v>
          </cell>
          <cell r="R44">
            <v>0.38516666666666666</v>
          </cell>
          <cell r="S44">
            <v>0.40850000000000003</v>
          </cell>
          <cell r="T44">
            <v>0.42066666666666663</v>
          </cell>
          <cell r="U44">
            <v>0.43333333333333335</v>
          </cell>
          <cell r="V44">
            <v>0.45066666666666666</v>
          </cell>
          <cell r="W44">
            <v>0.46866666666666668</v>
          </cell>
          <cell r="X44">
            <v>0.48749999999999999</v>
          </cell>
          <cell r="Y44">
            <v>0.50700000000000001</v>
          </cell>
          <cell r="Z44">
            <v>0.52716666666666667</v>
          </cell>
          <cell r="AA44">
            <v>0.54833333333333334</v>
          </cell>
          <cell r="AB44">
            <v>0.57033333333333336</v>
          </cell>
          <cell r="AC44">
            <v>0.59299999999999997</v>
          </cell>
          <cell r="AD44">
            <v>0.61683333333333334</v>
          </cell>
        </row>
        <row r="45">
          <cell r="M45" t="str">
            <v>Tooling (In House)</v>
          </cell>
          <cell r="N45">
            <v>0.65</v>
          </cell>
          <cell r="O45">
            <v>0.68</v>
          </cell>
          <cell r="P45">
            <v>0.71400000000000008</v>
          </cell>
          <cell r="Q45">
            <v>0.70383333333333331</v>
          </cell>
          <cell r="R45">
            <v>0.72499999999999998</v>
          </cell>
          <cell r="S45">
            <v>0.754</v>
          </cell>
          <cell r="T45">
            <v>0.78416666666666657</v>
          </cell>
          <cell r="U45">
            <v>0.82333333333333336</v>
          </cell>
          <cell r="V45">
            <v>0.86449999999999994</v>
          </cell>
          <cell r="W45">
            <v>0.90766666666666673</v>
          </cell>
          <cell r="X45">
            <v>0.95305000000000006</v>
          </cell>
          <cell r="Y45">
            <v>1.0007025000000001</v>
          </cell>
          <cell r="Z45">
            <v>1.050737625</v>
          </cell>
          <cell r="AA45">
            <v>1.10327450625</v>
          </cell>
          <cell r="AB45">
            <v>1.1584382315625001</v>
          </cell>
          <cell r="AC45">
            <v>1.2163601431406252</v>
          </cell>
          <cell r="AD45">
            <v>1.2771781502976565</v>
          </cell>
        </row>
        <row r="46">
          <cell r="M46"/>
          <cell r="N46"/>
          <cell r="O46"/>
          <cell r="P46"/>
          <cell r="Q46"/>
          <cell r="R46"/>
          <cell r="S46"/>
          <cell r="T46"/>
          <cell r="U46"/>
          <cell r="V46"/>
          <cell r="W46"/>
          <cell r="X46"/>
          <cell r="Y46"/>
          <cell r="Z46"/>
          <cell r="AA46"/>
          <cell r="AB46"/>
          <cell r="AC46"/>
          <cell r="AD46"/>
        </row>
        <row r="47">
          <cell r="M47"/>
          <cell r="N47"/>
          <cell r="O47"/>
          <cell r="P47"/>
          <cell r="Q47"/>
          <cell r="R47"/>
          <cell r="S47"/>
          <cell r="T47"/>
          <cell r="U47"/>
          <cell r="V47"/>
          <cell r="W47"/>
          <cell r="X47"/>
          <cell r="Y47"/>
          <cell r="Z47"/>
          <cell r="AA47"/>
          <cell r="AB47"/>
          <cell r="AC47"/>
          <cell r="AD47"/>
        </row>
        <row r="48">
          <cell r="M48"/>
          <cell r="N48"/>
          <cell r="O48"/>
          <cell r="P48"/>
          <cell r="Q48"/>
          <cell r="R48"/>
          <cell r="S48"/>
          <cell r="T48"/>
          <cell r="U48"/>
          <cell r="V48"/>
          <cell r="W48"/>
          <cell r="X48"/>
          <cell r="Y48"/>
          <cell r="Z48"/>
          <cell r="AA48"/>
          <cell r="AB48"/>
          <cell r="AC48"/>
          <cell r="AD48"/>
        </row>
        <row r="49">
          <cell r="M49"/>
          <cell r="N49"/>
          <cell r="O49"/>
          <cell r="P49"/>
          <cell r="Q49"/>
          <cell r="R49"/>
          <cell r="S49"/>
          <cell r="T49"/>
          <cell r="U49"/>
          <cell r="V49"/>
          <cell r="W49"/>
          <cell r="X49"/>
          <cell r="Y49"/>
          <cell r="Z49"/>
          <cell r="AA49"/>
          <cell r="AB49"/>
          <cell r="AC49"/>
          <cell r="AD49"/>
        </row>
        <row r="50">
          <cell r="M50"/>
          <cell r="N50"/>
          <cell r="O50"/>
          <cell r="P50"/>
          <cell r="Q50"/>
          <cell r="R50"/>
          <cell r="S50"/>
          <cell r="T50"/>
          <cell r="U50"/>
          <cell r="V50"/>
          <cell r="W50"/>
          <cell r="X50"/>
          <cell r="Y50"/>
          <cell r="Z50"/>
          <cell r="AA50"/>
          <cell r="AB50"/>
          <cell r="AC50"/>
          <cell r="AD50"/>
        </row>
        <row r="51">
          <cell r="M51"/>
          <cell r="N51"/>
          <cell r="O51"/>
          <cell r="P51"/>
          <cell r="Q51"/>
          <cell r="R51"/>
          <cell r="S51"/>
          <cell r="T51"/>
          <cell r="U51"/>
          <cell r="V51"/>
          <cell r="W51"/>
          <cell r="X51"/>
          <cell r="Y51"/>
          <cell r="Z51"/>
          <cell r="AA51"/>
          <cell r="AB51"/>
          <cell r="AC51"/>
          <cell r="AD51"/>
        </row>
        <row r="52">
          <cell r="M52"/>
          <cell r="N52"/>
          <cell r="O52"/>
          <cell r="P52"/>
          <cell r="Q52"/>
          <cell r="R52"/>
          <cell r="S52"/>
          <cell r="T52"/>
          <cell r="U52"/>
          <cell r="V52"/>
          <cell r="W52"/>
          <cell r="X52"/>
          <cell r="Y52"/>
          <cell r="Z52"/>
          <cell r="AA52"/>
          <cell r="AB52"/>
          <cell r="AC52"/>
          <cell r="AD52"/>
        </row>
        <row r="53">
          <cell r="M53"/>
          <cell r="N53"/>
          <cell r="O53"/>
          <cell r="P53"/>
          <cell r="Q53"/>
          <cell r="R53"/>
          <cell r="S53"/>
          <cell r="T53"/>
          <cell r="U53"/>
          <cell r="V53"/>
          <cell r="W53"/>
          <cell r="X53"/>
          <cell r="Y53"/>
          <cell r="Z53"/>
          <cell r="AA53"/>
          <cell r="AB53"/>
          <cell r="AC53"/>
          <cell r="AD53"/>
        </row>
        <row r="54">
          <cell r="M54"/>
          <cell r="N54"/>
          <cell r="O54"/>
          <cell r="P54"/>
          <cell r="Q54"/>
          <cell r="R54"/>
          <cell r="S54"/>
          <cell r="T54"/>
          <cell r="U54"/>
          <cell r="V54"/>
          <cell r="W54"/>
          <cell r="X54"/>
          <cell r="Y54"/>
          <cell r="Z54"/>
          <cell r="AA54"/>
          <cell r="AB54"/>
          <cell r="AC54"/>
          <cell r="AD54"/>
        </row>
        <row r="55">
          <cell r="M55"/>
          <cell r="N55"/>
          <cell r="O55"/>
          <cell r="P55"/>
          <cell r="Q55"/>
          <cell r="R55"/>
          <cell r="S55"/>
          <cell r="T55"/>
          <cell r="U55"/>
          <cell r="V55"/>
          <cell r="W55"/>
          <cell r="X55"/>
          <cell r="Y55"/>
          <cell r="Z55"/>
          <cell r="AA55"/>
          <cell r="AB55"/>
          <cell r="AC55"/>
          <cell r="AD55"/>
        </row>
        <row r="56">
          <cell r="M56"/>
          <cell r="N56"/>
          <cell r="O56"/>
          <cell r="P56"/>
          <cell r="Q56"/>
          <cell r="R56"/>
          <cell r="S56"/>
          <cell r="T56"/>
          <cell r="U56"/>
          <cell r="V56"/>
          <cell r="W56"/>
          <cell r="X56"/>
          <cell r="Y56"/>
          <cell r="Z56"/>
          <cell r="AA56"/>
          <cell r="AB56"/>
          <cell r="AC56"/>
          <cell r="AD56"/>
        </row>
        <row r="57">
          <cell r="M57"/>
          <cell r="N57"/>
          <cell r="O57"/>
          <cell r="P57"/>
          <cell r="Q57"/>
          <cell r="R57"/>
          <cell r="S57"/>
          <cell r="T57"/>
          <cell r="U57"/>
          <cell r="V57"/>
          <cell r="W57"/>
          <cell r="X57"/>
          <cell r="Y57"/>
          <cell r="Z57"/>
          <cell r="AA57"/>
          <cell r="AB57"/>
          <cell r="AC57"/>
          <cell r="AD57"/>
        </row>
        <row r="58">
          <cell r="M58"/>
          <cell r="N58"/>
          <cell r="O58"/>
          <cell r="P58"/>
          <cell r="Q58"/>
          <cell r="R58"/>
          <cell r="S58"/>
          <cell r="T58"/>
          <cell r="U58"/>
          <cell r="V58"/>
          <cell r="W58"/>
          <cell r="X58"/>
          <cell r="Y58"/>
          <cell r="Z58"/>
          <cell r="AA58"/>
          <cell r="AB58"/>
          <cell r="AC58"/>
          <cell r="AD58"/>
        </row>
        <row r="59">
          <cell r="M59"/>
          <cell r="N59"/>
          <cell r="O59"/>
          <cell r="P59"/>
          <cell r="Q59"/>
          <cell r="R59"/>
          <cell r="S59"/>
          <cell r="T59"/>
          <cell r="U59"/>
          <cell r="V59"/>
          <cell r="W59"/>
          <cell r="X59"/>
          <cell r="Y59"/>
          <cell r="Z59"/>
          <cell r="AA59"/>
          <cell r="AB59"/>
          <cell r="AC59"/>
          <cell r="AD59"/>
        </row>
        <row r="60">
          <cell r="M60"/>
          <cell r="N60"/>
          <cell r="O60"/>
          <cell r="P60"/>
          <cell r="Q60"/>
          <cell r="R60"/>
          <cell r="S60"/>
          <cell r="T60"/>
          <cell r="U60"/>
          <cell r="V60"/>
          <cell r="W60"/>
          <cell r="X60"/>
          <cell r="Y60"/>
          <cell r="Z60"/>
          <cell r="AA60"/>
          <cell r="AB60"/>
          <cell r="AC60"/>
          <cell r="AD60"/>
        </row>
        <row r="61">
          <cell r="M61"/>
          <cell r="N61"/>
          <cell r="O61"/>
          <cell r="P61"/>
          <cell r="Q61"/>
          <cell r="R61"/>
          <cell r="S61"/>
          <cell r="T61"/>
          <cell r="U61"/>
          <cell r="V61"/>
          <cell r="W61"/>
          <cell r="X61"/>
          <cell r="Y61"/>
          <cell r="Z61"/>
          <cell r="AA61"/>
          <cell r="AB61"/>
          <cell r="AC61"/>
          <cell r="AD61"/>
        </row>
        <row r="62">
          <cell r="M62"/>
          <cell r="N62"/>
          <cell r="O62"/>
          <cell r="P62"/>
          <cell r="Q62"/>
          <cell r="R62"/>
          <cell r="S62"/>
          <cell r="T62"/>
          <cell r="U62"/>
          <cell r="V62"/>
          <cell r="W62"/>
          <cell r="X62"/>
          <cell r="Y62"/>
          <cell r="Z62"/>
          <cell r="AA62"/>
          <cell r="AB62"/>
          <cell r="AC62"/>
          <cell r="AD62"/>
        </row>
        <row r="63">
          <cell r="M63"/>
          <cell r="N63"/>
          <cell r="O63"/>
          <cell r="P63"/>
          <cell r="Q63"/>
          <cell r="R63"/>
          <cell r="S63"/>
          <cell r="T63"/>
          <cell r="U63"/>
          <cell r="V63"/>
          <cell r="W63"/>
          <cell r="X63"/>
          <cell r="Y63"/>
          <cell r="Z63"/>
          <cell r="AA63"/>
          <cell r="AB63"/>
          <cell r="AC63"/>
          <cell r="AD63"/>
        </row>
        <row r="64">
          <cell r="M64"/>
          <cell r="N64"/>
          <cell r="O64"/>
          <cell r="P64"/>
          <cell r="Q64"/>
          <cell r="R64"/>
          <cell r="S64"/>
          <cell r="T64"/>
          <cell r="U64"/>
          <cell r="V64"/>
          <cell r="W64"/>
          <cell r="X64"/>
          <cell r="Y64"/>
          <cell r="Z64"/>
          <cell r="AA64"/>
          <cell r="AB64"/>
          <cell r="AC64"/>
          <cell r="AD64"/>
        </row>
        <row r="65">
          <cell r="M65"/>
          <cell r="N65"/>
          <cell r="O65"/>
          <cell r="P65"/>
          <cell r="Q65"/>
          <cell r="R65"/>
          <cell r="S65"/>
          <cell r="T65"/>
          <cell r="U65"/>
          <cell r="V65"/>
          <cell r="W65"/>
          <cell r="X65"/>
          <cell r="Y65"/>
          <cell r="Z65"/>
          <cell r="AA65"/>
          <cell r="AB65"/>
          <cell r="AC65"/>
          <cell r="AD65"/>
        </row>
        <row r="66">
          <cell r="M66"/>
          <cell r="N66"/>
          <cell r="O66"/>
          <cell r="P66"/>
          <cell r="Q66"/>
          <cell r="R66"/>
          <cell r="S66"/>
          <cell r="T66"/>
          <cell r="U66"/>
          <cell r="V66"/>
          <cell r="W66"/>
          <cell r="X66"/>
          <cell r="Y66"/>
          <cell r="Z66"/>
          <cell r="AA66"/>
          <cell r="AB66"/>
          <cell r="AC66"/>
          <cell r="AD66"/>
        </row>
        <row r="67">
          <cell r="M67"/>
          <cell r="N67"/>
          <cell r="O67"/>
          <cell r="P67"/>
          <cell r="Q67"/>
          <cell r="R67"/>
          <cell r="S67"/>
          <cell r="T67"/>
          <cell r="U67"/>
          <cell r="V67"/>
          <cell r="W67"/>
          <cell r="X67"/>
          <cell r="Y67"/>
          <cell r="Z67"/>
          <cell r="AA67"/>
          <cell r="AB67"/>
          <cell r="AC67"/>
          <cell r="AD67"/>
        </row>
        <row r="68">
          <cell r="M68"/>
          <cell r="N68">
            <v>2020</v>
          </cell>
          <cell r="O68">
            <v>2022</v>
          </cell>
          <cell r="P68">
            <v>2023</v>
          </cell>
          <cell r="Q68">
            <v>2024</v>
          </cell>
          <cell r="R68">
            <v>2025</v>
          </cell>
          <cell r="S68">
            <v>2026</v>
          </cell>
          <cell r="T68">
            <v>2027</v>
          </cell>
          <cell r="U68">
            <v>2028</v>
          </cell>
          <cell r="V68">
            <v>2029</v>
          </cell>
          <cell r="W68">
            <v>2030</v>
          </cell>
          <cell r="X68">
            <v>2031</v>
          </cell>
          <cell r="Y68">
            <v>2032</v>
          </cell>
          <cell r="Z68">
            <v>2033</v>
          </cell>
          <cell r="AA68">
            <v>2034</v>
          </cell>
          <cell r="AB68">
            <v>2035</v>
          </cell>
          <cell r="AC68">
            <v>2036</v>
          </cell>
          <cell r="AD68">
            <v>2037</v>
          </cell>
        </row>
        <row r="69">
          <cell r="M69" t="str">
            <v>Burden</v>
          </cell>
          <cell r="N69">
            <v>2.2999999999999998</v>
          </cell>
          <cell r="O69">
            <v>4.2699999999999996</v>
          </cell>
          <cell r="P69">
            <v>5.75</v>
          </cell>
          <cell r="Q69">
            <v>4.1500000000000004</v>
          </cell>
          <cell r="R69">
            <v>4.1500000000000004</v>
          </cell>
          <cell r="S69">
            <v>4.1500000000000004</v>
          </cell>
          <cell r="T69">
            <v>4.1500000000000004</v>
          </cell>
          <cell r="U69">
            <v>4.1500000000000004</v>
          </cell>
          <cell r="V69">
            <v>4.1500000000000004</v>
          </cell>
          <cell r="W69">
            <v>4.1500000000000004</v>
          </cell>
          <cell r="X69">
            <v>4.1500000000000004</v>
          </cell>
          <cell r="Y69">
            <v>4.1500000000000004</v>
          </cell>
          <cell r="Z69">
            <v>4.1500000000000004</v>
          </cell>
          <cell r="AA69">
            <v>4.1500000000000004</v>
          </cell>
          <cell r="AB69">
            <v>4.1500000000000004</v>
          </cell>
          <cell r="AC69">
            <v>4.1500000000000004</v>
          </cell>
          <cell r="AD69">
            <v>4.1500000000000004</v>
          </cell>
        </row>
        <row r="70">
          <cell r="M70" t="str">
            <v>LABOR  G&amp;A</v>
          </cell>
          <cell r="N70">
            <v>0.25</v>
          </cell>
          <cell r="O70">
            <v>0.23</v>
          </cell>
          <cell r="P70">
            <v>0.21</v>
          </cell>
          <cell r="Q70">
            <v>0.2</v>
          </cell>
          <cell r="R70">
            <v>0.2</v>
          </cell>
          <cell r="S70">
            <v>0.2</v>
          </cell>
          <cell r="T70">
            <v>0.2</v>
          </cell>
          <cell r="U70">
            <v>0.2</v>
          </cell>
          <cell r="V70">
            <v>0.2</v>
          </cell>
          <cell r="W70">
            <v>0.2</v>
          </cell>
          <cell r="X70">
            <v>0.2</v>
          </cell>
          <cell r="Y70">
            <v>0.2</v>
          </cell>
          <cell r="Z70">
            <v>0.2</v>
          </cell>
          <cell r="AA70">
            <v>0.2</v>
          </cell>
          <cell r="AB70">
            <v>0.2</v>
          </cell>
          <cell r="AC70">
            <v>0.2</v>
          </cell>
          <cell r="AD70">
            <v>0.2</v>
          </cell>
        </row>
        <row r="71">
          <cell r="M71" t="str">
            <v>MAT'ls &amp;HARDWARE G&amp;A</v>
          </cell>
          <cell r="N71">
            <v>0.25</v>
          </cell>
          <cell r="O71">
            <v>0.23</v>
          </cell>
          <cell r="P71">
            <v>0.21</v>
          </cell>
          <cell r="Q71">
            <v>0.2</v>
          </cell>
          <cell r="R71">
            <v>0.2</v>
          </cell>
          <cell r="S71">
            <v>0.2</v>
          </cell>
          <cell r="T71">
            <v>0.2</v>
          </cell>
          <cell r="U71">
            <v>0.2</v>
          </cell>
          <cell r="V71">
            <v>0.2</v>
          </cell>
          <cell r="W71">
            <v>0.2</v>
          </cell>
          <cell r="X71">
            <v>0.2</v>
          </cell>
          <cell r="Y71">
            <v>0.2</v>
          </cell>
          <cell r="Z71">
            <v>0.2</v>
          </cell>
          <cell r="AA71">
            <v>0.2</v>
          </cell>
          <cell r="AB71">
            <v>0.2</v>
          </cell>
          <cell r="AC71">
            <v>0.2</v>
          </cell>
          <cell r="AD71">
            <v>0.2</v>
          </cell>
        </row>
        <row r="72">
          <cell r="M72" t="str">
            <v>PROCESS G&amp;A</v>
          </cell>
          <cell r="N72">
            <v>0.25</v>
          </cell>
          <cell r="O72">
            <v>0.23</v>
          </cell>
          <cell r="P72">
            <v>0.21</v>
          </cell>
          <cell r="Q72">
            <v>0.2</v>
          </cell>
          <cell r="R72">
            <v>0.2</v>
          </cell>
          <cell r="S72">
            <v>0.2</v>
          </cell>
          <cell r="T72">
            <v>0.2</v>
          </cell>
          <cell r="U72">
            <v>0.2</v>
          </cell>
          <cell r="V72">
            <v>0.2</v>
          </cell>
          <cell r="W72">
            <v>0.2</v>
          </cell>
          <cell r="X72">
            <v>0.2</v>
          </cell>
          <cell r="Y72">
            <v>0.2</v>
          </cell>
          <cell r="Z72">
            <v>0.2</v>
          </cell>
          <cell r="AA72">
            <v>0.2</v>
          </cell>
          <cell r="AB72">
            <v>0.2</v>
          </cell>
          <cell r="AC72">
            <v>0.2</v>
          </cell>
          <cell r="AD72">
            <v>0.2</v>
          </cell>
        </row>
        <row r="73">
          <cell r="M73" t="str">
            <v>LABOR PROFIT</v>
          </cell>
          <cell r="N73">
            <v>0.12</v>
          </cell>
          <cell r="O73">
            <v>0.2</v>
          </cell>
          <cell r="P73">
            <v>0.2</v>
          </cell>
          <cell r="Q73">
            <v>0.2</v>
          </cell>
          <cell r="R73">
            <v>0.2</v>
          </cell>
          <cell r="S73">
            <v>0.2</v>
          </cell>
          <cell r="T73">
            <v>0.2</v>
          </cell>
          <cell r="U73">
            <v>0.2</v>
          </cell>
          <cell r="V73">
            <v>0.2</v>
          </cell>
          <cell r="W73">
            <v>0.2</v>
          </cell>
          <cell r="X73">
            <v>0.2</v>
          </cell>
          <cell r="Y73">
            <v>0.2</v>
          </cell>
          <cell r="Z73">
            <v>0.2</v>
          </cell>
          <cell r="AA73">
            <v>0.2</v>
          </cell>
          <cell r="AB73">
            <v>0.2</v>
          </cell>
          <cell r="AC73">
            <v>0.2</v>
          </cell>
          <cell r="AD73">
            <v>0.2</v>
          </cell>
        </row>
        <row r="74">
          <cell r="M74" t="str">
            <v>MAT'ls &amp;HARDWARE PROFIT</v>
          </cell>
          <cell r="N74">
            <v>0.12</v>
          </cell>
          <cell r="O74">
            <v>0.2</v>
          </cell>
          <cell r="P74">
            <v>0.2</v>
          </cell>
          <cell r="Q74">
            <v>0.2</v>
          </cell>
          <cell r="R74">
            <v>0.2</v>
          </cell>
          <cell r="S74">
            <v>0.2</v>
          </cell>
          <cell r="T74">
            <v>0.2</v>
          </cell>
          <cell r="U74">
            <v>0.2</v>
          </cell>
          <cell r="V74">
            <v>0.2</v>
          </cell>
          <cell r="W74">
            <v>0.2</v>
          </cell>
          <cell r="X74">
            <v>0.2</v>
          </cell>
          <cell r="Y74">
            <v>0.2</v>
          </cell>
          <cell r="Z74">
            <v>0.2</v>
          </cell>
          <cell r="AA74">
            <v>0.2</v>
          </cell>
          <cell r="AB74">
            <v>0.2</v>
          </cell>
          <cell r="AC74">
            <v>0.2</v>
          </cell>
          <cell r="AD74">
            <v>0.2</v>
          </cell>
        </row>
        <row r="75">
          <cell r="M75" t="str">
            <v>PROCESS PROFIT</v>
          </cell>
          <cell r="N75">
            <v>0.12</v>
          </cell>
          <cell r="O75">
            <v>0.2</v>
          </cell>
          <cell r="P75">
            <v>0.2</v>
          </cell>
          <cell r="Q75">
            <v>0.2</v>
          </cell>
          <cell r="R75">
            <v>0.2</v>
          </cell>
          <cell r="S75">
            <v>0.2</v>
          </cell>
          <cell r="T75">
            <v>0.2</v>
          </cell>
          <cell r="U75">
            <v>0.2</v>
          </cell>
          <cell r="V75">
            <v>0.2</v>
          </cell>
          <cell r="W75">
            <v>0.2</v>
          </cell>
          <cell r="X75">
            <v>0.2</v>
          </cell>
          <cell r="Y75">
            <v>0.2</v>
          </cell>
          <cell r="Z75">
            <v>0.2</v>
          </cell>
          <cell r="AA75">
            <v>0.2</v>
          </cell>
          <cell r="AB75">
            <v>0.2</v>
          </cell>
          <cell r="AC75">
            <v>0.2</v>
          </cell>
          <cell r="AD75">
            <v>0.2</v>
          </cell>
        </row>
      </sheetData>
      <sheetData sheetId="1"/>
      <sheetData sheetId="2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4.xml"/><Relationship Id="rId13" Type="http://schemas.openxmlformats.org/officeDocument/2006/relationships/ctrlProp" Target="../ctrlProps/ctrlProp9.xml"/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3.xml"/><Relationship Id="rId12" Type="http://schemas.openxmlformats.org/officeDocument/2006/relationships/ctrlProp" Target="../ctrlProps/ctrlProp8.xml"/><Relationship Id="rId17" Type="http://schemas.openxmlformats.org/officeDocument/2006/relationships/comments" Target="../comments1.xml"/><Relationship Id="rId2" Type="http://schemas.openxmlformats.org/officeDocument/2006/relationships/drawing" Target="../drawings/drawing1.xml"/><Relationship Id="rId16" Type="http://schemas.openxmlformats.org/officeDocument/2006/relationships/ctrlProp" Target="../ctrlProps/ctrlProp12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2.xml"/><Relationship Id="rId11" Type="http://schemas.openxmlformats.org/officeDocument/2006/relationships/ctrlProp" Target="../ctrlProps/ctrlProp7.xml"/><Relationship Id="rId5" Type="http://schemas.openxmlformats.org/officeDocument/2006/relationships/ctrlProp" Target="../ctrlProps/ctrlProp1.xml"/><Relationship Id="rId15" Type="http://schemas.openxmlformats.org/officeDocument/2006/relationships/ctrlProp" Target="../ctrlProps/ctrlProp11.xml"/><Relationship Id="rId10" Type="http://schemas.openxmlformats.org/officeDocument/2006/relationships/ctrlProp" Target="../ctrlProps/ctrlProp6.xml"/><Relationship Id="rId4" Type="http://schemas.openxmlformats.org/officeDocument/2006/relationships/vmlDrawing" Target="../drawings/vmlDrawing2.vml"/><Relationship Id="rId9" Type="http://schemas.openxmlformats.org/officeDocument/2006/relationships/ctrlProp" Target="../ctrlProps/ctrlProp5.xml"/><Relationship Id="rId14" Type="http://schemas.openxmlformats.org/officeDocument/2006/relationships/ctrlProp" Target="../ctrlProps/ctrlProp10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16.xml"/><Relationship Id="rId13" Type="http://schemas.openxmlformats.org/officeDocument/2006/relationships/ctrlProp" Target="../ctrlProps/ctrlProp21.xml"/><Relationship Id="rId18" Type="http://schemas.openxmlformats.org/officeDocument/2006/relationships/ctrlProp" Target="../ctrlProps/ctrlProp26.xml"/><Relationship Id="rId3" Type="http://schemas.openxmlformats.org/officeDocument/2006/relationships/vmlDrawing" Target="../drawings/vmlDrawing3.vml"/><Relationship Id="rId7" Type="http://schemas.openxmlformats.org/officeDocument/2006/relationships/ctrlProp" Target="../ctrlProps/ctrlProp15.xml"/><Relationship Id="rId12" Type="http://schemas.openxmlformats.org/officeDocument/2006/relationships/ctrlProp" Target="../ctrlProps/ctrlProp20.xml"/><Relationship Id="rId17" Type="http://schemas.openxmlformats.org/officeDocument/2006/relationships/ctrlProp" Target="../ctrlProps/ctrlProp25.xml"/><Relationship Id="rId2" Type="http://schemas.openxmlformats.org/officeDocument/2006/relationships/drawing" Target="../drawings/drawing2.xml"/><Relationship Id="rId16" Type="http://schemas.openxmlformats.org/officeDocument/2006/relationships/ctrlProp" Target="../ctrlProps/ctrlProp24.xml"/><Relationship Id="rId1" Type="http://schemas.openxmlformats.org/officeDocument/2006/relationships/printerSettings" Target="../printerSettings/printerSettings2.bin"/><Relationship Id="rId6" Type="http://schemas.openxmlformats.org/officeDocument/2006/relationships/ctrlProp" Target="../ctrlProps/ctrlProp14.xml"/><Relationship Id="rId11" Type="http://schemas.openxmlformats.org/officeDocument/2006/relationships/ctrlProp" Target="../ctrlProps/ctrlProp19.xml"/><Relationship Id="rId5" Type="http://schemas.openxmlformats.org/officeDocument/2006/relationships/ctrlProp" Target="../ctrlProps/ctrlProp13.xml"/><Relationship Id="rId15" Type="http://schemas.openxmlformats.org/officeDocument/2006/relationships/ctrlProp" Target="../ctrlProps/ctrlProp23.xml"/><Relationship Id="rId10" Type="http://schemas.openxmlformats.org/officeDocument/2006/relationships/ctrlProp" Target="../ctrlProps/ctrlProp18.xml"/><Relationship Id="rId19" Type="http://schemas.openxmlformats.org/officeDocument/2006/relationships/comments" Target="../comments2.xml"/><Relationship Id="rId4" Type="http://schemas.openxmlformats.org/officeDocument/2006/relationships/vmlDrawing" Target="../drawings/vmlDrawing4.vml"/><Relationship Id="rId9" Type="http://schemas.openxmlformats.org/officeDocument/2006/relationships/ctrlProp" Target="../ctrlProps/ctrlProp17.xml"/><Relationship Id="rId14" Type="http://schemas.openxmlformats.org/officeDocument/2006/relationships/ctrlProp" Target="../ctrlProps/ctrlProp2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H137"/>
  <sheetViews>
    <sheetView zoomScaleNormal="100" zoomScalePageLayoutView="70" workbookViewId="0">
      <selection activeCell="B2" sqref="B2:C2"/>
    </sheetView>
  </sheetViews>
  <sheetFormatPr defaultRowHeight="14.4" x14ac:dyDescent="0.3"/>
  <cols>
    <col min="1" max="1" width="30.33203125" customWidth="1"/>
    <col min="2" max="2" width="8.6640625" customWidth="1"/>
    <col min="3" max="3" width="9" customWidth="1"/>
    <col min="4" max="4" width="8.6640625" customWidth="1"/>
    <col min="5" max="5" width="10.5546875" bestFit="1" customWidth="1"/>
    <col min="6" max="13" width="8.6640625" customWidth="1"/>
    <col min="14" max="14" width="13.6640625" customWidth="1"/>
    <col min="17" max="17" width="10.6640625" customWidth="1"/>
    <col min="18" max="18" width="11" customWidth="1"/>
    <col min="19" max="19" width="13.109375" customWidth="1"/>
  </cols>
  <sheetData>
    <row r="1" spans="1:34" ht="13.5" customHeight="1" thickBot="1" x14ac:dyDescent="0.35">
      <c r="A1" s="9"/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7"/>
      <c r="O1" s="32"/>
      <c r="P1" s="32"/>
      <c r="Q1" s="32"/>
      <c r="R1" s="32"/>
      <c r="S1" s="32"/>
      <c r="T1" s="32"/>
      <c r="U1" s="32"/>
      <c r="V1" s="32"/>
      <c r="W1" s="32"/>
      <c r="X1" s="32"/>
      <c r="Y1" s="32"/>
      <c r="Z1" s="32"/>
      <c r="AA1" s="32"/>
      <c r="AB1" s="32"/>
      <c r="AC1" s="32"/>
      <c r="AD1" s="32"/>
      <c r="AE1" s="32"/>
      <c r="AF1" s="32"/>
      <c r="AG1" s="32"/>
      <c r="AH1" s="32"/>
    </row>
    <row r="2" spans="1:34" ht="13.5" customHeight="1" x14ac:dyDescent="0.3">
      <c r="A2" s="141" t="s">
        <v>24</v>
      </c>
      <c r="B2" s="214"/>
      <c r="C2" s="215"/>
      <c r="D2" s="35"/>
      <c r="E2" s="42"/>
      <c r="F2" s="35"/>
      <c r="G2" s="35"/>
      <c r="H2" s="35"/>
      <c r="I2" s="35"/>
      <c r="J2" s="35"/>
      <c r="K2" s="35"/>
      <c r="L2" s="35"/>
      <c r="M2" s="35"/>
      <c r="N2" s="42"/>
      <c r="O2" s="32"/>
      <c r="P2" s="32"/>
      <c r="Q2" s="32"/>
      <c r="R2" s="32"/>
      <c r="S2" s="32"/>
      <c r="T2" s="32"/>
      <c r="U2" s="32"/>
      <c r="V2" s="32"/>
      <c r="W2" s="32"/>
      <c r="X2" s="32"/>
      <c r="Y2" s="32"/>
      <c r="Z2" s="32"/>
      <c r="AA2" s="32"/>
      <c r="AB2" s="32"/>
      <c r="AC2" s="32"/>
      <c r="AD2" s="32"/>
      <c r="AE2" s="32"/>
      <c r="AF2" s="32"/>
      <c r="AG2" s="32"/>
      <c r="AH2" s="32"/>
    </row>
    <row r="3" spans="1:34" ht="13.5" customHeight="1" x14ac:dyDescent="0.3">
      <c r="A3" s="142" t="s">
        <v>26</v>
      </c>
      <c r="B3" s="222"/>
      <c r="C3" s="222"/>
      <c r="D3" s="55" t="s">
        <v>37</v>
      </c>
      <c r="E3" s="144"/>
      <c r="F3" s="197" t="s">
        <v>78</v>
      </c>
      <c r="G3" s="196">
        <v>0.95</v>
      </c>
      <c r="H3" s="36"/>
      <c r="I3" s="36"/>
      <c r="J3" s="36"/>
      <c r="K3" s="36"/>
      <c r="L3" s="36"/>
      <c r="M3" s="36"/>
      <c r="N3" s="43"/>
      <c r="O3" s="32"/>
      <c r="P3" s="32"/>
      <c r="Q3" s="32"/>
      <c r="R3" s="32"/>
      <c r="S3" s="32"/>
      <c r="T3" s="32"/>
      <c r="U3" s="32"/>
      <c r="V3" s="32"/>
      <c r="W3" s="32"/>
      <c r="X3" s="32"/>
      <c r="Y3" s="32"/>
      <c r="Z3" s="32"/>
      <c r="AA3" s="32"/>
      <c r="AB3" s="32"/>
      <c r="AC3" s="32"/>
      <c r="AD3" s="32"/>
      <c r="AE3" s="32"/>
      <c r="AF3" s="32"/>
      <c r="AG3" s="32"/>
      <c r="AH3" s="32"/>
    </row>
    <row r="4" spans="1:34" ht="13.5" customHeight="1" x14ac:dyDescent="0.3">
      <c r="A4" s="142" t="s">
        <v>25</v>
      </c>
      <c r="B4" s="130"/>
      <c r="C4" s="143"/>
      <c r="D4" s="55" t="s">
        <v>38</v>
      </c>
      <c r="E4" s="144"/>
      <c r="F4" s="143"/>
      <c r="G4" s="36"/>
      <c r="H4" s="36"/>
      <c r="I4" s="36"/>
      <c r="J4" s="36"/>
      <c r="K4" s="36"/>
      <c r="L4" s="36"/>
      <c r="M4" s="36"/>
      <c r="N4" s="43"/>
      <c r="O4" s="32"/>
      <c r="P4" s="32"/>
      <c r="Q4" s="32"/>
      <c r="R4" s="32"/>
      <c r="S4" s="32"/>
      <c r="T4" s="32"/>
      <c r="U4" s="32"/>
      <c r="V4" s="32"/>
      <c r="W4" s="32"/>
      <c r="X4" s="32"/>
      <c r="Y4" s="32"/>
      <c r="Z4" s="32"/>
      <c r="AA4" s="32"/>
      <c r="AB4" s="32"/>
      <c r="AC4" s="32"/>
      <c r="AD4" s="32"/>
      <c r="AE4" s="32"/>
      <c r="AF4" s="32"/>
      <c r="AG4" s="32"/>
      <c r="AH4" s="32"/>
    </row>
    <row r="5" spans="1:34" ht="13.5" customHeight="1" x14ac:dyDescent="0.3">
      <c r="A5" s="142" t="s">
        <v>27</v>
      </c>
      <c r="B5" s="130"/>
      <c r="C5" s="143"/>
      <c r="D5" s="55" t="s">
        <v>39</v>
      </c>
      <c r="E5" s="144"/>
      <c r="F5" s="211" t="s">
        <v>72</v>
      </c>
      <c r="G5" s="212"/>
      <c r="H5" s="212"/>
      <c r="I5" s="212"/>
      <c r="J5" s="212"/>
      <c r="K5" s="212"/>
      <c r="L5" s="212"/>
      <c r="M5" s="212"/>
      <c r="N5" s="213"/>
      <c r="O5" s="32"/>
      <c r="P5" s="32"/>
      <c r="Q5" s="32"/>
      <c r="R5" s="32"/>
      <c r="S5" s="32"/>
      <c r="T5" s="32"/>
      <c r="U5" s="32"/>
      <c r="V5" s="32"/>
      <c r="W5" s="32"/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</row>
    <row r="6" spans="1:34" ht="13.5" customHeight="1" x14ac:dyDescent="0.3">
      <c r="A6" s="142" t="s">
        <v>28</v>
      </c>
      <c r="B6" s="223" t="str">
        <f>F13&amp;", "&amp;G13&amp;", "&amp;H13&amp;", "&amp;I13&amp;", "&amp;J13&amp;" , "&amp;K13&amp;" , "&amp;L13&amp;", "&amp;M13</f>
        <v>10, 25, 50, 75, 100 , 250 , 500, 1000</v>
      </c>
      <c r="C6" s="223"/>
      <c r="D6" s="223"/>
      <c r="E6" s="36"/>
      <c r="F6" s="205"/>
      <c r="G6" s="206"/>
      <c r="H6" s="206"/>
      <c r="I6" s="206"/>
      <c r="J6" s="206"/>
      <c r="K6" s="206"/>
      <c r="L6" s="206"/>
      <c r="M6" s="206"/>
      <c r="N6" s="207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</row>
    <row r="7" spans="1:34" ht="13.5" customHeight="1" x14ac:dyDescent="0.3">
      <c r="A7" s="142" t="s">
        <v>29</v>
      </c>
      <c r="B7" s="57"/>
      <c r="C7" s="143"/>
      <c r="D7" s="36"/>
      <c r="E7" s="36"/>
      <c r="F7" s="205"/>
      <c r="G7" s="206"/>
      <c r="H7" s="206"/>
      <c r="I7" s="206"/>
      <c r="J7" s="206"/>
      <c r="K7" s="206"/>
      <c r="L7" s="206"/>
      <c r="M7" s="206"/>
      <c r="N7" s="207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</row>
    <row r="8" spans="1:34" ht="13.5" customHeight="1" x14ac:dyDescent="0.3">
      <c r="A8" s="142" t="s">
        <v>30</v>
      </c>
      <c r="B8" s="130"/>
      <c r="C8" s="143"/>
      <c r="D8" s="36"/>
      <c r="E8" s="36"/>
      <c r="F8" s="205"/>
      <c r="G8" s="206"/>
      <c r="H8" s="206"/>
      <c r="I8" s="206"/>
      <c r="J8" s="206"/>
      <c r="K8" s="206"/>
      <c r="L8" s="206"/>
      <c r="M8" s="206"/>
      <c r="N8" s="207"/>
      <c r="O8" s="32"/>
      <c r="P8" s="32"/>
      <c r="Q8" s="32"/>
      <c r="R8" s="32"/>
      <c r="S8" s="32"/>
      <c r="T8" s="32"/>
      <c r="U8" s="32"/>
      <c r="V8" s="32"/>
      <c r="W8" s="32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</row>
    <row r="9" spans="1:34" ht="13.5" customHeight="1" x14ac:dyDescent="0.3">
      <c r="A9" s="142" t="s">
        <v>112</v>
      </c>
      <c r="B9" s="193">
        <v>2026</v>
      </c>
      <c r="C9" s="36"/>
      <c r="D9" s="36"/>
      <c r="E9" s="36"/>
      <c r="F9" s="205"/>
      <c r="G9" s="206"/>
      <c r="H9" s="206"/>
      <c r="I9" s="206"/>
      <c r="J9" s="206"/>
      <c r="K9" s="206"/>
      <c r="L9" s="206"/>
      <c r="M9" s="206"/>
      <c r="N9" s="207"/>
      <c r="O9" s="32"/>
      <c r="P9" s="32"/>
      <c r="Q9" s="32"/>
      <c r="R9" s="32"/>
      <c r="S9" s="32"/>
      <c r="T9" s="32"/>
      <c r="U9" s="32"/>
      <c r="V9" s="32"/>
      <c r="W9" s="32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</row>
    <row r="10" spans="1:34" ht="13.5" customHeight="1" thickBot="1" x14ac:dyDescent="0.35">
      <c r="A10" s="122"/>
      <c r="B10" s="123"/>
      <c r="C10" s="123"/>
      <c r="D10" s="123"/>
      <c r="E10" s="123"/>
      <c r="F10" s="208"/>
      <c r="G10" s="209"/>
      <c r="H10" s="209"/>
      <c r="I10" s="209"/>
      <c r="J10" s="209"/>
      <c r="K10" s="209"/>
      <c r="L10" s="209"/>
      <c r="M10" s="209"/>
      <c r="N10" s="210"/>
      <c r="O10" s="32"/>
      <c r="P10" s="32"/>
      <c r="Q10" s="32"/>
      <c r="R10" s="32"/>
      <c r="S10" s="32"/>
      <c r="T10" s="32"/>
      <c r="U10" s="32"/>
      <c r="V10" s="32"/>
      <c r="W10" s="32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</row>
    <row r="11" spans="1:34" ht="13.5" customHeight="1" x14ac:dyDescent="0.3">
      <c r="A11" s="23" t="s">
        <v>43</v>
      </c>
      <c r="B11" s="7"/>
      <c r="C11" s="7"/>
      <c r="D11" s="7"/>
      <c r="E11" s="7"/>
      <c r="F11" s="44" t="s">
        <v>0</v>
      </c>
      <c r="G11" s="6"/>
      <c r="H11" s="6"/>
      <c r="I11" s="6"/>
      <c r="J11" s="6"/>
      <c r="K11" s="6"/>
      <c r="L11" s="6"/>
      <c r="M11" s="6"/>
      <c r="N11" s="201" t="s">
        <v>31</v>
      </c>
      <c r="O11" s="32"/>
      <c r="P11" s="32"/>
      <c r="Q11" s="32"/>
      <c r="R11" s="32"/>
      <c r="S11" s="32"/>
      <c r="T11" s="32"/>
      <c r="U11" s="32"/>
      <c r="V11" s="32"/>
      <c r="W11" s="32"/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</row>
    <row r="12" spans="1:34" ht="13.5" customHeight="1" thickBot="1" x14ac:dyDescent="0.35">
      <c r="A12" s="11"/>
      <c r="B12" s="7"/>
      <c r="C12" s="7"/>
      <c r="D12" s="7"/>
      <c r="E12" s="7"/>
      <c r="F12" s="45"/>
      <c r="G12" s="46"/>
      <c r="H12" s="46"/>
      <c r="I12" s="46"/>
      <c r="J12" s="46"/>
      <c r="K12" s="46"/>
      <c r="L12" s="46"/>
      <c r="M12" s="75"/>
      <c r="N12" s="47"/>
      <c r="O12" s="32"/>
      <c r="P12" s="32"/>
      <c r="Q12" s="32"/>
      <c r="R12" s="32"/>
      <c r="S12" s="32"/>
      <c r="T12" s="32"/>
      <c r="U12" s="32"/>
      <c r="V12" s="32"/>
      <c r="W12" s="32"/>
      <c r="X12" s="32"/>
      <c r="Y12" s="32"/>
      <c r="Z12" s="32"/>
      <c r="AA12" s="32"/>
      <c r="AB12" s="32"/>
      <c r="AC12" s="32"/>
      <c r="AD12" s="32"/>
      <c r="AE12" s="32"/>
      <c r="AF12" s="32"/>
      <c r="AG12" s="32"/>
      <c r="AH12" s="32"/>
    </row>
    <row r="13" spans="1:34" ht="27.75" customHeight="1" thickBot="1" x14ac:dyDescent="0.35">
      <c r="A13" s="99"/>
      <c r="B13" s="100" t="s">
        <v>109</v>
      </c>
      <c r="C13" s="100" t="s">
        <v>110</v>
      </c>
      <c r="D13" s="100"/>
      <c r="E13" s="97" t="s">
        <v>111</v>
      </c>
      <c r="F13" s="99">
        <v>10</v>
      </c>
      <c r="G13" s="99">
        <v>25</v>
      </c>
      <c r="H13" s="99">
        <v>50</v>
      </c>
      <c r="I13" s="99">
        <v>75</v>
      </c>
      <c r="J13" s="99">
        <v>100</v>
      </c>
      <c r="K13" s="99">
        <v>250</v>
      </c>
      <c r="L13" s="99">
        <v>500</v>
      </c>
      <c r="M13" s="99">
        <v>1000</v>
      </c>
      <c r="N13" s="98">
        <v>1</v>
      </c>
      <c r="O13" s="115"/>
      <c r="P13" s="116"/>
      <c r="Q13" s="32"/>
      <c r="R13" s="139"/>
      <c r="S13" s="139"/>
      <c r="T13" s="32"/>
      <c r="U13" s="32"/>
      <c r="V13" s="32"/>
      <c r="W13" s="32"/>
      <c r="X13" s="32"/>
      <c r="Y13" s="32"/>
      <c r="Z13" s="32"/>
      <c r="AA13" s="32"/>
      <c r="AB13" s="32"/>
      <c r="AC13" s="32"/>
      <c r="AD13" s="32"/>
      <c r="AE13" s="32"/>
      <c r="AF13" s="32"/>
      <c r="AG13" s="32"/>
      <c r="AH13" s="32"/>
    </row>
    <row r="14" spans="1:34" ht="13.5" customHeight="1" x14ac:dyDescent="0.3">
      <c r="A14" s="61" t="s">
        <v>94</v>
      </c>
      <c r="B14" s="48"/>
      <c r="C14" s="49"/>
      <c r="D14" s="50"/>
      <c r="E14" s="51">
        <f>VLOOKUP(A14,[1]!Rates2020,$B$83,FALSE)</f>
        <v>2.08</v>
      </c>
      <c r="F14" s="51"/>
      <c r="G14" s="52"/>
      <c r="H14" s="52"/>
      <c r="I14" s="52"/>
      <c r="J14" s="52"/>
      <c r="K14" s="52"/>
      <c r="L14" s="52"/>
      <c r="M14" s="52"/>
      <c r="N14" s="52">
        <f>(($B14/N$13*$E14)+($C14*$E14))</f>
        <v>0</v>
      </c>
      <c r="O14" s="32"/>
      <c r="P14" s="32"/>
      <c r="Q14" s="36"/>
      <c r="R14" s="32"/>
      <c r="S14" s="32"/>
      <c r="T14" s="32"/>
      <c r="U14" s="32"/>
      <c r="V14" s="32"/>
      <c r="W14" s="32"/>
      <c r="X14" s="32"/>
      <c r="Y14" s="32"/>
      <c r="Z14" s="32"/>
      <c r="AA14" s="32"/>
      <c r="AB14" s="32"/>
      <c r="AC14" s="32"/>
      <c r="AD14" s="32"/>
      <c r="AE14" s="32"/>
      <c r="AF14" s="32"/>
      <c r="AG14" s="32"/>
      <c r="AH14" s="32"/>
    </row>
    <row r="15" spans="1:34" ht="13.5" customHeight="1" x14ac:dyDescent="0.3">
      <c r="A15" s="61" t="s">
        <v>65</v>
      </c>
      <c r="B15" s="48"/>
      <c r="C15" s="49"/>
      <c r="D15" s="50"/>
      <c r="E15" s="51">
        <f>VLOOKUP(A15,[1]!Rates2020,$B$83,FALSE)</f>
        <v>2.5</v>
      </c>
      <c r="F15" s="51"/>
      <c r="G15" s="52"/>
      <c r="H15" s="52"/>
      <c r="I15" s="52"/>
      <c r="J15" s="52"/>
      <c r="K15" s="52"/>
      <c r="L15" s="52"/>
      <c r="M15" s="52"/>
      <c r="N15" s="52">
        <f>(($B15/N$13*$E15)+($C15*$E15))</f>
        <v>0</v>
      </c>
      <c r="O15" s="32"/>
      <c r="P15" s="32"/>
      <c r="Q15" s="36"/>
      <c r="R15" s="32"/>
      <c r="S15" s="32"/>
      <c r="T15" s="32"/>
      <c r="U15" s="32"/>
      <c r="V15" s="32"/>
      <c r="W15" s="32"/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</row>
    <row r="16" spans="1:34" ht="13.5" customHeight="1" x14ac:dyDescent="0.3">
      <c r="A16" s="61" t="s">
        <v>53</v>
      </c>
      <c r="B16" s="48"/>
      <c r="C16" s="49"/>
      <c r="D16" s="50"/>
      <c r="E16" s="51">
        <f>VLOOKUP(A16,[1]!Rates2020,$B$83,FALSE)</f>
        <v>1</v>
      </c>
      <c r="F16" s="51"/>
      <c r="G16" s="51"/>
      <c r="H16" s="51"/>
      <c r="I16" s="51"/>
      <c r="J16" s="51"/>
      <c r="K16" s="51"/>
      <c r="L16" s="51"/>
      <c r="M16" s="51"/>
      <c r="N16" s="52">
        <f>(($B16/N$13*$E16)+($C16*$E16))</f>
        <v>0</v>
      </c>
      <c r="O16" s="32"/>
      <c r="P16" s="32"/>
      <c r="Q16" s="36"/>
      <c r="R16" s="32"/>
      <c r="S16" s="32"/>
      <c r="T16" s="32"/>
      <c r="U16" s="32"/>
      <c r="V16" s="32"/>
      <c r="W16" s="32"/>
      <c r="X16" s="32"/>
      <c r="Y16" s="32"/>
      <c r="Z16" s="32"/>
      <c r="AA16" s="32"/>
      <c r="AB16" s="32"/>
      <c r="AC16" s="32"/>
      <c r="AD16" s="32"/>
      <c r="AE16" s="32"/>
      <c r="AF16" s="32"/>
      <c r="AG16" s="32"/>
      <c r="AH16" s="32"/>
    </row>
    <row r="17" spans="1:34" ht="13.5" customHeight="1" x14ac:dyDescent="0.3">
      <c r="A17" s="61" t="s">
        <v>49</v>
      </c>
      <c r="B17" s="36"/>
      <c r="C17" s="37"/>
      <c r="D17" s="38"/>
      <c r="E17" s="12">
        <f>VLOOKUP(A17,[1]!Rates2020,$B$83,FALSE)</f>
        <v>0.52416666666666667</v>
      </c>
      <c r="F17" s="12">
        <f t="shared" ref="F17:M26" si="0">(($B17/F$13*$E17)+($C17*$E17))</f>
        <v>0</v>
      </c>
      <c r="G17" s="12">
        <f t="shared" si="0"/>
        <v>0</v>
      </c>
      <c r="H17" s="12">
        <f t="shared" si="0"/>
        <v>0</v>
      </c>
      <c r="I17" s="12">
        <f t="shared" si="0"/>
        <v>0</v>
      </c>
      <c r="J17" s="12">
        <f t="shared" si="0"/>
        <v>0</v>
      </c>
      <c r="K17" s="12">
        <f t="shared" si="0"/>
        <v>0</v>
      </c>
      <c r="L17" s="12">
        <f t="shared" si="0"/>
        <v>0</v>
      </c>
      <c r="M17" s="12">
        <f t="shared" si="0"/>
        <v>0</v>
      </c>
      <c r="N17" s="13"/>
      <c r="O17" s="32"/>
      <c r="P17" s="32"/>
      <c r="Q17" s="36"/>
      <c r="R17" s="32"/>
      <c r="S17" s="32"/>
      <c r="T17" s="32"/>
      <c r="U17" s="32"/>
      <c r="V17" s="32"/>
      <c r="W17" s="32"/>
      <c r="X17" s="32"/>
      <c r="Y17" s="32"/>
      <c r="Z17" s="32"/>
      <c r="AA17" s="32"/>
      <c r="AB17" s="32"/>
      <c r="AC17" s="32"/>
      <c r="AD17" s="32"/>
      <c r="AE17" s="32"/>
      <c r="AF17" s="32"/>
      <c r="AG17" s="32"/>
      <c r="AH17" s="32"/>
    </row>
    <row r="18" spans="1:34" ht="13.5" customHeight="1" x14ac:dyDescent="0.3">
      <c r="A18" s="61" t="s">
        <v>96</v>
      </c>
      <c r="B18" s="36"/>
      <c r="C18" s="37"/>
      <c r="D18" s="38"/>
      <c r="E18" s="12">
        <f>VLOOKUP(A18,[1]!Rates2020,$B$83,FALSE)</f>
        <v>0.52416666666666667</v>
      </c>
      <c r="F18" s="12">
        <f t="shared" si="0"/>
        <v>0</v>
      </c>
      <c r="G18" s="12">
        <f t="shared" si="0"/>
        <v>0</v>
      </c>
      <c r="H18" s="12">
        <f t="shared" si="0"/>
        <v>0</v>
      </c>
      <c r="I18" s="12">
        <f t="shared" si="0"/>
        <v>0</v>
      </c>
      <c r="J18" s="12">
        <f t="shared" si="0"/>
        <v>0</v>
      </c>
      <c r="K18" s="12">
        <f t="shared" si="0"/>
        <v>0</v>
      </c>
      <c r="L18" s="12">
        <f t="shared" si="0"/>
        <v>0</v>
      </c>
      <c r="M18" s="12">
        <f t="shared" si="0"/>
        <v>0</v>
      </c>
      <c r="N18" s="13"/>
      <c r="O18" s="32"/>
      <c r="P18" s="32"/>
      <c r="Q18" s="36"/>
      <c r="R18" s="32"/>
      <c r="S18" s="32"/>
      <c r="T18" s="32"/>
      <c r="U18" s="32"/>
      <c r="V18" s="32"/>
      <c r="W18" s="32"/>
      <c r="X18" s="32"/>
      <c r="Y18" s="32"/>
      <c r="Z18" s="32"/>
      <c r="AA18" s="32"/>
      <c r="AB18" s="32"/>
      <c r="AC18" s="32"/>
      <c r="AD18" s="32"/>
      <c r="AE18" s="32"/>
      <c r="AF18" s="32"/>
      <c r="AG18" s="32"/>
      <c r="AH18" s="32"/>
    </row>
    <row r="19" spans="1:34" ht="13.5" customHeight="1" x14ac:dyDescent="0.3">
      <c r="A19" s="61" t="s">
        <v>97</v>
      </c>
      <c r="B19" s="36"/>
      <c r="C19" s="37"/>
      <c r="D19" s="38"/>
      <c r="E19" s="12">
        <f>VLOOKUP(A19,[1]!Rates2020,$B$83,FALSE)</f>
        <v>0.52416666666666667</v>
      </c>
      <c r="F19" s="12">
        <f t="shared" si="0"/>
        <v>0</v>
      </c>
      <c r="G19" s="12">
        <f t="shared" si="0"/>
        <v>0</v>
      </c>
      <c r="H19" s="12">
        <f t="shared" si="0"/>
        <v>0</v>
      </c>
      <c r="I19" s="12">
        <f t="shared" si="0"/>
        <v>0</v>
      </c>
      <c r="J19" s="12">
        <f t="shared" si="0"/>
        <v>0</v>
      </c>
      <c r="K19" s="12">
        <f t="shared" si="0"/>
        <v>0</v>
      </c>
      <c r="L19" s="12">
        <f t="shared" si="0"/>
        <v>0</v>
      </c>
      <c r="M19" s="12">
        <f t="shared" si="0"/>
        <v>0</v>
      </c>
      <c r="N19" s="13"/>
      <c r="O19" s="32"/>
      <c r="P19" s="32"/>
      <c r="Q19" s="36"/>
      <c r="R19" s="32"/>
      <c r="S19" s="32"/>
      <c r="T19" s="32"/>
      <c r="U19" s="32"/>
      <c r="V19" s="32"/>
      <c r="W19" s="32"/>
      <c r="X19" s="32"/>
      <c r="Y19" s="32"/>
      <c r="Z19" s="32"/>
      <c r="AA19" s="32"/>
      <c r="AB19" s="32"/>
      <c r="AC19" s="32"/>
      <c r="AD19" s="32"/>
      <c r="AE19" s="32"/>
      <c r="AF19" s="32"/>
      <c r="AG19" s="32"/>
      <c r="AH19" s="32"/>
    </row>
    <row r="20" spans="1:34" ht="13.5" customHeight="1" x14ac:dyDescent="0.3">
      <c r="A20" s="61" t="s">
        <v>98</v>
      </c>
      <c r="B20" s="36"/>
      <c r="C20" s="37"/>
      <c r="D20" s="38"/>
      <c r="E20" s="12">
        <f>VLOOKUP(A20,[1]!Rates2020,$B$83,FALSE)</f>
        <v>0.40850000000000003</v>
      </c>
      <c r="F20" s="12">
        <f t="shared" si="0"/>
        <v>0</v>
      </c>
      <c r="G20" s="12">
        <f t="shared" si="0"/>
        <v>0</v>
      </c>
      <c r="H20" s="12">
        <f t="shared" si="0"/>
        <v>0</v>
      </c>
      <c r="I20" s="12">
        <f t="shared" si="0"/>
        <v>0</v>
      </c>
      <c r="J20" s="12">
        <f t="shared" si="0"/>
        <v>0</v>
      </c>
      <c r="K20" s="12">
        <f t="shared" si="0"/>
        <v>0</v>
      </c>
      <c r="L20" s="12">
        <f t="shared" si="0"/>
        <v>0</v>
      </c>
      <c r="M20" s="12">
        <f t="shared" si="0"/>
        <v>0</v>
      </c>
      <c r="N20" s="13"/>
      <c r="O20" s="32"/>
      <c r="P20" s="32"/>
      <c r="Q20" s="36"/>
      <c r="R20" s="32"/>
      <c r="S20" s="32"/>
      <c r="T20" s="32"/>
      <c r="U20" s="32"/>
      <c r="V20" s="32"/>
      <c r="W20" s="32"/>
      <c r="X20" s="32"/>
      <c r="Y20" s="32"/>
      <c r="Z20" s="32"/>
      <c r="AA20" s="32"/>
      <c r="AB20" s="32"/>
      <c r="AC20" s="32"/>
      <c r="AD20" s="32"/>
      <c r="AE20" s="32"/>
      <c r="AF20" s="32"/>
      <c r="AG20" s="32"/>
      <c r="AH20" s="32"/>
    </row>
    <row r="21" spans="1:34" ht="13.5" customHeight="1" x14ac:dyDescent="0.3">
      <c r="A21" s="61" t="s">
        <v>99</v>
      </c>
      <c r="B21" s="36"/>
      <c r="C21" s="37"/>
      <c r="D21" s="38"/>
      <c r="E21" s="12">
        <f>VLOOKUP(A21,[1]!Rates2020,$B$83,FALSE)</f>
        <v>0.40850000000000003</v>
      </c>
      <c r="F21" s="12">
        <f t="shared" si="0"/>
        <v>0</v>
      </c>
      <c r="G21" s="12">
        <f t="shared" si="0"/>
        <v>0</v>
      </c>
      <c r="H21" s="12">
        <f t="shared" si="0"/>
        <v>0</v>
      </c>
      <c r="I21" s="12">
        <f t="shared" si="0"/>
        <v>0</v>
      </c>
      <c r="J21" s="12">
        <f t="shared" si="0"/>
        <v>0</v>
      </c>
      <c r="K21" s="12">
        <f t="shared" si="0"/>
        <v>0</v>
      </c>
      <c r="L21" s="12">
        <f t="shared" si="0"/>
        <v>0</v>
      </c>
      <c r="M21" s="12">
        <f t="shared" si="0"/>
        <v>0</v>
      </c>
      <c r="N21" s="13"/>
      <c r="O21" s="117"/>
      <c r="P21" s="107"/>
      <c r="Q21" s="36"/>
      <c r="R21" s="32"/>
      <c r="S21" s="32"/>
      <c r="T21" s="32"/>
      <c r="U21" s="32"/>
      <c r="V21" s="32"/>
      <c r="W21" s="32"/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</row>
    <row r="22" spans="1:34" ht="13.5" customHeight="1" x14ac:dyDescent="0.3">
      <c r="A22" s="61" t="s">
        <v>100</v>
      </c>
      <c r="B22" s="36"/>
      <c r="C22" s="37"/>
      <c r="D22" s="38"/>
      <c r="E22" s="12">
        <f>VLOOKUP(A22,[1]!Rates2020,$B$83,FALSE)</f>
        <v>0.40599999999999997</v>
      </c>
      <c r="F22" s="12">
        <f t="shared" si="0"/>
        <v>0</v>
      </c>
      <c r="G22" s="12">
        <f t="shared" si="0"/>
        <v>0</v>
      </c>
      <c r="H22" s="12">
        <f t="shared" si="0"/>
        <v>0</v>
      </c>
      <c r="I22" s="12">
        <f t="shared" si="0"/>
        <v>0</v>
      </c>
      <c r="J22" s="12">
        <f t="shared" si="0"/>
        <v>0</v>
      </c>
      <c r="K22" s="12">
        <f t="shared" si="0"/>
        <v>0</v>
      </c>
      <c r="L22" s="12">
        <f t="shared" si="0"/>
        <v>0</v>
      </c>
      <c r="M22" s="12">
        <f t="shared" si="0"/>
        <v>0</v>
      </c>
      <c r="N22" s="13"/>
      <c r="O22" s="32"/>
      <c r="P22" s="32"/>
      <c r="Q22" s="36"/>
      <c r="R22" s="32"/>
      <c r="S22" s="32"/>
      <c r="T22" s="32"/>
      <c r="U22" s="32"/>
      <c r="V22" s="32"/>
      <c r="W22" s="32"/>
      <c r="X22" s="32"/>
      <c r="Y22" s="32"/>
      <c r="Z22" s="32"/>
      <c r="AA22" s="32"/>
      <c r="AB22" s="32"/>
      <c r="AC22" s="32"/>
      <c r="AD22" s="32"/>
      <c r="AE22" s="32"/>
      <c r="AF22" s="32"/>
      <c r="AG22" s="32"/>
      <c r="AH22" s="32"/>
    </row>
    <row r="23" spans="1:34" ht="13.5" customHeight="1" x14ac:dyDescent="0.3">
      <c r="A23" s="61" t="s">
        <v>88</v>
      </c>
      <c r="B23" s="36"/>
      <c r="C23" s="37"/>
      <c r="D23" s="38"/>
      <c r="E23" s="12">
        <f>VLOOKUP(A23,[1]!Rates2020,$B$83,FALSE)</f>
        <v>0.52416666666666667</v>
      </c>
      <c r="F23" s="12">
        <f t="shared" si="0"/>
        <v>0</v>
      </c>
      <c r="G23" s="12">
        <f t="shared" si="0"/>
        <v>0</v>
      </c>
      <c r="H23" s="12">
        <f t="shared" si="0"/>
        <v>0</v>
      </c>
      <c r="I23" s="12">
        <f t="shared" si="0"/>
        <v>0</v>
      </c>
      <c r="J23" s="12">
        <f t="shared" si="0"/>
        <v>0</v>
      </c>
      <c r="K23" s="12">
        <f t="shared" si="0"/>
        <v>0</v>
      </c>
      <c r="L23" s="12">
        <f t="shared" si="0"/>
        <v>0</v>
      </c>
      <c r="M23" s="12">
        <f t="shared" si="0"/>
        <v>0</v>
      </c>
      <c r="N23" s="13"/>
      <c r="O23" s="32"/>
      <c r="P23" s="32"/>
      <c r="Q23" s="36"/>
      <c r="R23" s="32"/>
      <c r="S23" s="32"/>
      <c r="T23" s="32"/>
      <c r="U23" s="32"/>
      <c r="V23" s="32"/>
      <c r="W23" s="32"/>
      <c r="X23" s="32"/>
      <c r="Y23" s="32"/>
      <c r="Z23" s="32"/>
      <c r="AA23" s="32"/>
      <c r="AB23" s="32"/>
      <c r="AC23" s="32"/>
      <c r="AD23" s="32"/>
      <c r="AE23" s="32"/>
      <c r="AF23" s="32"/>
      <c r="AG23" s="32"/>
      <c r="AH23" s="32"/>
    </row>
    <row r="24" spans="1:34" ht="13.5" customHeight="1" x14ac:dyDescent="0.3">
      <c r="A24" s="177" t="s">
        <v>101</v>
      </c>
      <c r="B24" s="36"/>
      <c r="C24" s="37"/>
      <c r="D24" s="38"/>
      <c r="E24" s="12">
        <f>VLOOKUP(A24,[1]!Rates2020,$B$83,FALSE)</f>
        <v>0.41233333333333333</v>
      </c>
      <c r="F24" s="12">
        <f t="shared" si="0"/>
        <v>0</v>
      </c>
      <c r="G24" s="12">
        <f t="shared" si="0"/>
        <v>0</v>
      </c>
      <c r="H24" s="12">
        <f t="shared" si="0"/>
        <v>0</v>
      </c>
      <c r="I24" s="12">
        <f t="shared" si="0"/>
        <v>0</v>
      </c>
      <c r="J24" s="12">
        <f t="shared" si="0"/>
        <v>0</v>
      </c>
      <c r="K24" s="12">
        <f t="shared" si="0"/>
        <v>0</v>
      </c>
      <c r="L24" s="12">
        <f t="shared" si="0"/>
        <v>0</v>
      </c>
      <c r="M24" s="12">
        <f t="shared" si="0"/>
        <v>0</v>
      </c>
      <c r="N24" s="13"/>
      <c r="O24" s="32"/>
      <c r="P24" s="32"/>
      <c r="Q24" s="36"/>
      <c r="R24" s="32"/>
      <c r="S24" s="32"/>
      <c r="T24" s="32"/>
      <c r="U24" s="32"/>
      <c r="V24" s="32"/>
      <c r="W24" s="32"/>
      <c r="X24" s="32"/>
      <c r="Y24" s="32"/>
      <c r="Z24" s="32"/>
      <c r="AA24" s="32"/>
      <c r="AB24" s="32"/>
      <c r="AC24" s="32"/>
      <c r="AD24" s="32"/>
      <c r="AE24" s="32"/>
      <c r="AF24" s="32"/>
      <c r="AG24" s="32"/>
      <c r="AH24" s="32"/>
    </row>
    <row r="25" spans="1:34" ht="13.5" customHeight="1" x14ac:dyDescent="0.3">
      <c r="A25" s="200" t="s">
        <v>102</v>
      </c>
      <c r="B25" s="36"/>
      <c r="C25" s="37"/>
      <c r="D25" s="38"/>
      <c r="E25" s="12">
        <f>VLOOKUP(A25,[1]!Rates2020,$B$83,FALSE)</f>
        <v>0.65549999999999997</v>
      </c>
      <c r="F25" s="12">
        <f t="shared" si="0"/>
        <v>0</v>
      </c>
      <c r="G25" s="12">
        <f t="shared" si="0"/>
        <v>0</v>
      </c>
      <c r="H25" s="12">
        <f t="shared" si="0"/>
        <v>0</v>
      </c>
      <c r="I25" s="12">
        <f t="shared" si="0"/>
        <v>0</v>
      </c>
      <c r="J25" s="12">
        <f t="shared" si="0"/>
        <v>0</v>
      </c>
      <c r="K25" s="12">
        <f t="shared" si="0"/>
        <v>0</v>
      </c>
      <c r="L25" s="12">
        <f t="shared" si="0"/>
        <v>0</v>
      </c>
      <c r="M25" s="12">
        <f t="shared" si="0"/>
        <v>0</v>
      </c>
      <c r="N25" s="13"/>
      <c r="O25" s="32"/>
      <c r="P25" s="32"/>
      <c r="Q25" s="36"/>
      <c r="R25" s="32"/>
      <c r="S25" s="32"/>
      <c r="T25" s="32"/>
      <c r="U25" s="32"/>
      <c r="V25" s="32"/>
      <c r="W25" s="32"/>
      <c r="X25" s="32"/>
      <c r="Y25" s="32"/>
      <c r="Z25" s="32"/>
      <c r="AA25" s="32"/>
      <c r="AB25" s="32"/>
      <c r="AC25" s="32"/>
      <c r="AD25" s="32"/>
      <c r="AE25" s="32"/>
      <c r="AF25" s="32"/>
      <c r="AG25" s="32"/>
      <c r="AH25" s="32"/>
    </row>
    <row r="26" spans="1:34" ht="13.5" customHeight="1" thickBot="1" x14ac:dyDescent="0.35">
      <c r="A26" s="200" t="s">
        <v>103</v>
      </c>
      <c r="B26" s="36"/>
      <c r="C26" s="37"/>
      <c r="D26" s="38"/>
      <c r="E26" s="12">
        <f>VLOOKUP(A26,[1]!Rates2020,$B$83,FALSE)</f>
        <v>0.3795</v>
      </c>
      <c r="F26" s="12">
        <f t="shared" si="0"/>
        <v>0</v>
      </c>
      <c r="G26" s="12">
        <f t="shared" si="0"/>
        <v>0</v>
      </c>
      <c r="H26" s="12">
        <f t="shared" si="0"/>
        <v>0</v>
      </c>
      <c r="I26" s="12">
        <f t="shared" si="0"/>
        <v>0</v>
      </c>
      <c r="J26" s="12">
        <f t="shared" si="0"/>
        <v>0</v>
      </c>
      <c r="K26" s="12">
        <f t="shared" si="0"/>
        <v>0</v>
      </c>
      <c r="L26" s="12">
        <f t="shared" si="0"/>
        <v>0</v>
      </c>
      <c r="M26" s="12">
        <f t="shared" si="0"/>
        <v>0</v>
      </c>
      <c r="N26" s="13"/>
      <c r="O26" s="32"/>
      <c r="P26" s="32"/>
      <c r="Q26" s="36"/>
      <c r="R26" s="32"/>
      <c r="S26" s="32"/>
      <c r="T26" s="32"/>
      <c r="U26" s="32"/>
      <c r="V26" s="32"/>
      <c r="W26" s="32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</row>
    <row r="27" spans="1:34" ht="13.5" customHeight="1" x14ac:dyDescent="0.3">
      <c r="A27" s="120"/>
      <c r="B27" s="5"/>
      <c r="C27" s="6" t="s">
        <v>2</v>
      </c>
      <c r="D27" s="6"/>
      <c r="E27" s="14" t="s">
        <v>5</v>
      </c>
      <c r="F27" s="15">
        <f t="shared" ref="F27:M27" si="1">SUM(F17:F26)</f>
        <v>0</v>
      </c>
      <c r="G27" s="15">
        <f t="shared" si="1"/>
        <v>0</v>
      </c>
      <c r="H27" s="15">
        <f t="shared" si="1"/>
        <v>0</v>
      </c>
      <c r="I27" s="15">
        <f t="shared" si="1"/>
        <v>0</v>
      </c>
      <c r="J27" s="15">
        <f t="shared" ref="J27:K27" si="2">SUM(J17:J26)</f>
        <v>0</v>
      </c>
      <c r="K27" s="15">
        <f t="shared" si="2"/>
        <v>0</v>
      </c>
      <c r="L27" s="15">
        <f t="shared" si="1"/>
        <v>0</v>
      </c>
      <c r="M27" s="15">
        <f t="shared" si="1"/>
        <v>0</v>
      </c>
      <c r="N27" s="54">
        <f>SUM(N14:N26)</f>
        <v>0</v>
      </c>
      <c r="O27" s="32"/>
      <c r="P27" s="32"/>
      <c r="Q27" s="32"/>
      <c r="R27" s="32"/>
      <c r="S27" s="32"/>
      <c r="T27" s="32"/>
      <c r="U27" s="32"/>
      <c r="V27" s="32"/>
      <c r="W27" s="32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</row>
    <row r="28" spans="1:34" ht="13.5" customHeight="1" x14ac:dyDescent="0.3">
      <c r="A28" s="120"/>
      <c r="B28" s="16" t="s">
        <v>3</v>
      </c>
      <c r="C28" s="17" t="s">
        <v>4</v>
      </c>
      <c r="D28" s="7"/>
      <c r="E28" s="8" t="s">
        <v>6</v>
      </c>
      <c r="F28" s="18">
        <f t="shared" ref="F28:M28" si="3">(($B$29/F13)+$C$29)/60</f>
        <v>0</v>
      </c>
      <c r="G28" s="18">
        <f t="shared" si="3"/>
        <v>0</v>
      </c>
      <c r="H28" s="18">
        <f t="shared" si="3"/>
        <v>0</v>
      </c>
      <c r="I28" s="18">
        <f t="shared" si="3"/>
        <v>0</v>
      </c>
      <c r="J28" s="18">
        <f t="shared" ref="J28:K28" si="4">(($B$29/J13)+$C$29)/60</f>
        <v>0</v>
      </c>
      <c r="K28" s="18">
        <f t="shared" si="4"/>
        <v>0</v>
      </c>
      <c r="L28" s="18">
        <f t="shared" si="3"/>
        <v>0</v>
      </c>
      <c r="M28" s="18">
        <f t="shared" si="3"/>
        <v>0</v>
      </c>
      <c r="N28" s="53"/>
      <c r="O28" s="32"/>
      <c r="P28" s="32"/>
      <c r="Q28" s="140"/>
      <c r="R28" s="32"/>
      <c r="S28" s="32"/>
      <c r="T28" s="32"/>
      <c r="U28" s="32"/>
      <c r="V28" s="32"/>
      <c r="W28" s="32"/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</row>
    <row r="29" spans="1:34" ht="13.5" customHeight="1" x14ac:dyDescent="0.3">
      <c r="A29" s="120"/>
      <c r="B29" s="11">
        <f>SUM(B17:B26)</f>
        <v>0</v>
      </c>
      <c r="C29" s="7">
        <f>SUM(C17:C26)</f>
        <v>0</v>
      </c>
      <c r="D29" s="112">
        <f>VLOOKUP(E29,[1]!Rates2020,$B$83, FALSE)</f>
        <v>4.1500000000000004</v>
      </c>
      <c r="E29" s="8" t="s">
        <v>7</v>
      </c>
      <c r="F29" s="18">
        <f>F27*$D$29</f>
        <v>0</v>
      </c>
      <c r="G29" s="18">
        <f t="shared" ref="G29:M29" si="5">G27*$D$29</f>
        <v>0</v>
      </c>
      <c r="H29" s="18">
        <f t="shared" si="5"/>
        <v>0</v>
      </c>
      <c r="I29" s="18">
        <f t="shared" si="5"/>
        <v>0</v>
      </c>
      <c r="J29" s="18">
        <f t="shared" ref="J29:K29" si="6">J27*$D$29</f>
        <v>0</v>
      </c>
      <c r="K29" s="18">
        <f t="shared" si="6"/>
        <v>0</v>
      </c>
      <c r="L29" s="18">
        <f t="shared" si="5"/>
        <v>0</v>
      </c>
      <c r="M29" s="18">
        <f t="shared" si="5"/>
        <v>0</v>
      </c>
      <c r="N29" s="53"/>
      <c r="O29" s="119"/>
      <c r="P29" s="32"/>
      <c r="Q29" s="32"/>
      <c r="R29" s="32"/>
      <c r="S29" s="32"/>
      <c r="T29" s="32"/>
      <c r="U29" s="32"/>
      <c r="V29" s="32"/>
      <c r="W29" s="32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</row>
    <row r="30" spans="1:34" ht="13.5" customHeight="1" x14ac:dyDescent="0.3">
      <c r="A30" s="120"/>
      <c r="B30" s="11"/>
      <c r="C30" s="7"/>
      <c r="D30" s="7"/>
      <c r="E30" s="8"/>
      <c r="F30" s="7"/>
      <c r="G30" s="7"/>
      <c r="H30" s="7"/>
      <c r="I30" s="7"/>
      <c r="J30" s="7"/>
      <c r="K30" s="7"/>
      <c r="L30" s="7"/>
      <c r="M30" s="7"/>
      <c r="N30" s="8"/>
      <c r="O30" s="32"/>
      <c r="P30" s="32"/>
      <c r="Q30" s="32"/>
      <c r="R30" s="32"/>
      <c r="S30" s="32"/>
      <c r="T30" s="32"/>
      <c r="U30" s="32"/>
      <c r="V30" s="32"/>
      <c r="W30" s="32"/>
      <c r="X30" s="32"/>
      <c r="Y30" s="32"/>
      <c r="Z30" s="32"/>
      <c r="AA30" s="32"/>
      <c r="AB30" s="32"/>
      <c r="AC30" s="32"/>
      <c r="AD30" s="32"/>
      <c r="AE30" s="32"/>
      <c r="AF30" s="32"/>
      <c r="AG30" s="32"/>
      <c r="AH30" s="32"/>
    </row>
    <row r="31" spans="1:34" ht="13.5" customHeight="1" x14ac:dyDescent="0.3">
      <c r="A31" s="120"/>
      <c r="B31" s="11"/>
      <c r="C31" s="7"/>
      <c r="D31" s="7"/>
      <c r="E31" s="19" t="s">
        <v>8</v>
      </c>
      <c r="F31" s="20">
        <f>F27+F29</f>
        <v>0</v>
      </c>
      <c r="G31" s="20">
        <f t="shared" ref="G31:M31" si="7">G27+G29</f>
        <v>0</v>
      </c>
      <c r="H31" s="20">
        <f t="shared" si="7"/>
        <v>0</v>
      </c>
      <c r="I31" s="20">
        <f t="shared" si="7"/>
        <v>0</v>
      </c>
      <c r="J31" s="20">
        <f t="shared" ref="J31:K31" si="8">J27+J29</f>
        <v>0</v>
      </c>
      <c r="K31" s="20">
        <f t="shared" si="8"/>
        <v>0</v>
      </c>
      <c r="L31" s="20">
        <f t="shared" si="7"/>
        <v>0</v>
      </c>
      <c r="M31" s="20">
        <f t="shared" si="7"/>
        <v>0</v>
      </c>
      <c r="N31" s="21">
        <f>N27</f>
        <v>0</v>
      </c>
      <c r="O31" s="32"/>
      <c r="P31" s="32"/>
      <c r="Q31" s="32"/>
      <c r="R31" s="32"/>
      <c r="S31" s="32"/>
      <c r="T31" s="32"/>
      <c r="U31" s="32"/>
      <c r="V31" s="32"/>
      <c r="W31" s="32"/>
      <c r="X31" s="32"/>
      <c r="Y31" s="32"/>
      <c r="Z31" s="32"/>
      <c r="AA31" s="32"/>
      <c r="AB31" s="32"/>
      <c r="AC31" s="32"/>
      <c r="AD31" s="32"/>
      <c r="AE31" s="32"/>
      <c r="AF31" s="32"/>
      <c r="AG31" s="32"/>
      <c r="AH31" s="32"/>
    </row>
    <row r="32" spans="1:34" ht="13.5" customHeight="1" thickBot="1" x14ac:dyDescent="0.35">
      <c r="A32" s="121"/>
      <c r="B32" s="22"/>
      <c r="C32" s="9"/>
      <c r="D32" s="9"/>
      <c r="E32" s="10"/>
      <c r="F32" s="9"/>
      <c r="G32" s="9"/>
      <c r="H32" s="9"/>
      <c r="I32" s="9"/>
      <c r="J32" s="9"/>
      <c r="K32" s="9"/>
      <c r="L32" s="9"/>
      <c r="M32" s="9"/>
      <c r="N32" s="10"/>
      <c r="O32" s="32"/>
      <c r="P32" s="32"/>
      <c r="Q32" s="32"/>
      <c r="R32" s="32"/>
      <c r="S32" s="32"/>
      <c r="T32" s="32"/>
      <c r="U32" s="32"/>
      <c r="V32" s="32"/>
      <c r="W32" s="32"/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</row>
    <row r="33" spans="1:34" ht="29.25" customHeight="1" thickBot="1" x14ac:dyDescent="0.35">
      <c r="A33" s="85" t="s">
        <v>104</v>
      </c>
      <c r="B33" s="86" t="s">
        <v>113</v>
      </c>
      <c r="C33" s="86" t="s">
        <v>106</v>
      </c>
      <c r="D33" s="86" t="s">
        <v>107</v>
      </c>
      <c r="E33" s="87" t="s">
        <v>108</v>
      </c>
      <c r="F33" s="88" t="str">
        <f t="shared" ref="F33:M33" si="9">"Qty: "&amp; F13</f>
        <v>Qty: 10</v>
      </c>
      <c r="G33" s="88" t="str">
        <f t="shared" si="9"/>
        <v>Qty: 25</v>
      </c>
      <c r="H33" s="88" t="str">
        <f t="shared" si="9"/>
        <v>Qty: 50</v>
      </c>
      <c r="I33" s="88" t="str">
        <f t="shared" si="9"/>
        <v>Qty: 75</v>
      </c>
      <c r="J33" s="88" t="str">
        <f t="shared" si="9"/>
        <v>Qty: 100</v>
      </c>
      <c r="K33" s="88" t="str">
        <f t="shared" si="9"/>
        <v>Qty: 250</v>
      </c>
      <c r="L33" s="88" t="str">
        <f t="shared" si="9"/>
        <v>Qty: 500</v>
      </c>
      <c r="M33" s="89" t="str">
        <f t="shared" si="9"/>
        <v>Qty: 1000</v>
      </c>
      <c r="N33" s="149" t="s">
        <v>81</v>
      </c>
      <c r="O33" s="32"/>
      <c r="P33" s="32"/>
      <c r="Q33" s="32"/>
      <c r="R33" s="32"/>
      <c r="S33" s="32"/>
      <c r="T33" s="32"/>
      <c r="U33" s="32"/>
      <c r="V33" s="32"/>
      <c r="W33" s="32"/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</row>
    <row r="34" spans="1:34" x14ac:dyDescent="0.3">
      <c r="A34" s="28"/>
      <c r="B34" s="30"/>
      <c r="C34" s="31"/>
      <c r="D34" s="124"/>
      <c r="E34" s="125">
        <f t="shared" ref="E34:E45" si="10">C34*D34</f>
        <v>0</v>
      </c>
      <c r="F34" s="33">
        <f>IF($N34=TRUE,$E34/F$13,$E34*(1+(1/F$13)))</f>
        <v>0</v>
      </c>
      <c r="G34" s="33">
        <f t="shared" ref="G34:M45" si="11">IF($N34=TRUE,$E34/G$13,$E34*(1+(1/G$13)))</f>
        <v>0</v>
      </c>
      <c r="H34" s="33">
        <f t="shared" si="11"/>
        <v>0</v>
      </c>
      <c r="I34" s="33">
        <f t="shared" si="11"/>
        <v>0</v>
      </c>
      <c r="J34" s="33">
        <f t="shared" si="11"/>
        <v>0</v>
      </c>
      <c r="K34" s="33">
        <f t="shared" si="11"/>
        <v>0</v>
      </c>
      <c r="L34" s="33">
        <f t="shared" si="11"/>
        <v>0</v>
      </c>
      <c r="M34" s="33">
        <f t="shared" si="11"/>
        <v>0</v>
      </c>
      <c r="N34" s="147" t="b">
        <v>0</v>
      </c>
      <c r="O34" s="32"/>
      <c r="P34" s="32"/>
      <c r="Q34" s="32"/>
      <c r="R34" s="32"/>
      <c r="S34" s="32"/>
      <c r="T34" s="32"/>
      <c r="U34" s="32"/>
      <c r="V34" s="32"/>
      <c r="W34" s="32"/>
      <c r="X34" s="32"/>
      <c r="Y34" s="32"/>
      <c r="Z34" s="32"/>
      <c r="AA34" s="32"/>
      <c r="AB34" s="32"/>
      <c r="AC34" s="32"/>
      <c r="AD34" s="32"/>
      <c r="AE34" s="32"/>
      <c r="AF34" s="32"/>
      <c r="AG34" s="32"/>
      <c r="AH34" s="32"/>
    </row>
    <row r="35" spans="1:34" x14ac:dyDescent="0.3">
      <c r="A35" s="29"/>
      <c r="B35" s="30"/>
      <c r="C35" s="31"/>
      <c r="D35" s="124"/>
      <c r="E35" s="125">
        <f t="shared" si="10"/>
        <v>0</v>
      </c>
      <c r="F35" s="33">
        <f t="shared" ref="F35:F45" si="12">IF($N35=TRUE,$E35/F$13,$E35*(1+(1/F$13)))</f>
        <v>0</v>
      </c>
      <c r="G35" s="33">
        <f t="shared" si="11"/>
        <v>0</v>
      </c>
      <c r="H35" s="33">
        <f t="shared" si="11"/>
        <v>0</v>
      </c>
      <c r="I35" s="33">
        <f t="shared" si="11"/>
        <v>0</v>
      </c>
      <c r="J35" s="33">
        <f t="shared" si="11"/>
        <v>0</v>
      </c>
      <c r="K35" s="33">
        <f t="shared" si="11"/>
        <v>0</v>
      </c>
      <c r="L35" s="33">
        <f t="shared" si="11"/>
        <v>0</v>
      </c>
      <c r="M35" s="33">
        <f t="shared" si="11"/>
        <v>0</v>
      </c>
      <c r="N35" s="147" t="b">
        <v>0</v>
      </c>
      <c r="O35" s="32"/>
      <c r="P35" s="32"/>
      <c r="Q35" s="32"/>
      <c r="R35" s="32"/>
      <c r="S35" s="32"/>
      <c r="T35" s="32"/>
      <c r="U35" s="32"/>
      <c r="V35" s="32"/>
      <c r="W35" s="32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</row>
    <row r="36" spans="1:34" ht="15" thickBot="1" x14ac:dyDescent="0.35">
      <c r="A36" s="29"/>
      <c r="B36" s="30"/>
      <c r="C36" s="31"/>
      <c r="D36" s="124"/>
      <c r="E36" s="125">
        <f t="shared" si="10"/>
        <v>0</v>
      </c>
      <c r="F36" s="33">
        <f t="shared" si="12"/>
        <v>0</v>
      </c>
      <c r="G36" s="33">
        <f t="shared" si="11"/>
        <v>0</v>
      </c>
      <c r="H36" s="33">
        <f t="shared" si="11"/>
        <v>0</v>
      </c>
      <c r="I36" s="33">
        <f t="shared" si="11"/>
        <v>0</v>
      </c>
      <c r="J36" s="33">
        <f t="shared" si="11"/>
        <v>0</v>
      </c>
      <c r="K36" s="33">
        <f t="shared" si="11"/>
        <v>0</v>
      </c>
      <c r="L36" s="33">
        <f t="shared" si="11"/>
        <v>0</v>
      </c>
      <c r="M36" s="33">
        <f t="shared" si="11"/>
        <v>0</v>
      </c>
      <c r="N36" s="148" t="b">
        <v>0</v>
      </c>
      <c r="O36" s="32"/>
      <c r="P36" s="32"/>
      <c r="Q36" s="32"/>
      <c r="R36" s="32"/>
      <c r="S36" s="32"/>
      <c r="T36" s="32"/>
      <c r="U36" s="32"/>
      <c r="V36" s="32"/>
      <c r="W36" s="32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</row>
    <row r="37" spans="1:34" x14ac:dyDescent="0.3">
      <c r="A37" s="28"/>
      <c r="B37" s="30"/>
      <c r="C37" s="31"/>
      <c r="D37" s="124"/>
      <c r="E37" s="125">
        <f t="shared" si="10"/>
        <v>0</v>
      </c>
      <c r="F37" s="33">
        <f t="shared" si="12"/>
        <v>0</v>
      </c>
      <c r="G37" s="33">
        <f t="shared" si="11"/>
        <v>0</v>
      </c>
      <c r="H37" s="33">
        <f t="shared" si="11"/>
        <v>0</v>
      </c>
      <c r="I37" s="33">
        <f t="shared" si="11"/>
        <v>0</v>
      </c>
      <c r="J37" s="33">
        <f t="shared" si="11"/>
        <v>0</v>
      </c>
      <c r="K37" s="33">
        <f t="shared" si="11"/>
        <v>0</v>
      </c>
      <c r="L37" s="33">
        <f t="shared" si="11"/>
        <v>0</v>
      </c>
      <c r="M37" s="33">
        <f t="shared" si="11"/>
        <v>0</v>
      </c>
      <c r="N37" s="147" t="b">
        <v>0</v>
      </c>
      <c r="O37" s="32"/>
      <c r="P37" s="32"/>
      <c r="Q37" s="32"/>
      <c r="R37" s="32"/>
      <c r="S37" s="32"/>
      <c r="T37" s="118"/>
      <c r="U37" s="32"/>
      <c r="V37" s="32"/>
      <c r="W37" s="32"/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</row>
    <row r="38" spans="1:34" x14ac:dyDescent="0.3">
      <c r="A38" s="29"/>
      <c r="B38" s="30"/>
      <c r="C38" s="31"/>
      <c r="D38" s="124"/>
      <c r="E38" s="125">
        <f t="shared" si="10"/>
        <v>0</v>
      </c>
      <c r="F38" s="33">
        <f t="shared" si="12"/>
        <v>0</v>
      </c>
      <c r="G38" s="33">
        <f t="shared" si="11"/>
        <v>0</v>
      </c>
      <c r="H38" s="33">
        <f t="shared" si="11"/>
        <v>0</v>
      </c>
      <c r="I38" s="33">
        <f t="shared" si="11"/>
        <v>0</v>
      </c>
      <c r="J38" s="33">
        <f t="shared" si="11"/>
        <v>0</v>
      </c>
      <c r="K38" s="33">
        <f t="shared" si="11"/>
        <v>0</v>
      </c>
      <c r="L38" s="33">
        <f t="shared" si="11"/>
        <v>0</v>
      </c>
      <c r="M38" s="33">
        <f t="shared" si="11"/>
        <v>0</v>
      </c>
      <c r="N38" s="147" t="b">
        <v>0</v>
      </c>
      <c r="O38" s="32"/>
      <c r="P38" s="32"/>
      <c r="Q38" s="32"/>
      <c r="R38" s="32"/>
      <c r="S38" s="32"/>
      <c r="T38" s="118"/>
      <c r="U38" s="32"/>
      <c r="V38" s="32"/>
      <c r="W38" s="32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</row>
    <row r="39" spans="1:34" ht="15" thickBot="1" x14ac:dyDescent="0.35">
      <c r="A39" s="29"/>
      <c r="B39" s="30"/>
      <c r="C39" s="31"/>
      <c r="D39" s="124"/>
      <c r="E39" s="125">
        <f t="shared" si="10"/>
        <v>0</v>
      </c>
      <c r="F39" s="33">
        <f t="shared" si="12"/>
        <v>0</v>
      </c>
      <c r="G39" s="33">
        <f t="shared" si="11"/>
        <v>0</v>
      </c>
      <c r="H39" s="33">
        <f t="shared" si="11"/>
        <v>0</v>
      </c>
      <c r="I39" s="33">
        <f t="shared" si="11"/>
        <v>0</v>
      </c>
      <c r="J39" s="33">
        <f t="shared" si="11"/>
        <v>0</v>
      </c>
      <c r="K39" s="33">
        <f t="shared" si="11"/>
        <v>0</v>
      </c>
      <c r="L39" s="33">
        <f t="shared" si="11"/>
        <v>0</v>
      </c>
      <c r="M39" s="33">
        <f t="shared" si="11"/>
        <v>0</v>
      </c>
      <c r="N39" s="148" t="b">
        <v>0</v>
      </c>
      <c r="O39" s="32"/>
      <c r="P39" s="32"/>
      <c r="Q39" s="32"/>
      <c r="R39" s="32"/>
      <c r="S39" s="32"/>
      <c r="T39" s="118"/>
      <c r="U39" s="32"/>
      <c r="V39" s="32"/>
      <c r="W39" s="32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</row>
    <row r="40" spans="1:34" x14ac:dyDescent="0.3">
      <c r="A40" s="28"/>
      <c r="B40" s="30"/>
      <c r="C40" s="31"/>
      <c r="D40" s="124"/>
      <c r="E40" s="125">
        <f t="shared" si="10"/>
        <v>0</v>
      </c>
      <c r="F40" s="33">
        <f t="shared" si="12"/>
        <v>0</v>
      </c>
      <c r="G40" s="33">
        <f t="shared" si="11"/>
        <v>0</v>
      </c>
      <c r="H40" s="33">
        <f t="shared" si="11"/>
        <v>0</v>
      </c>
      <c r="I40" s="33">
        <f t="shared" si="11"/>
        <v>0</v>
      </c>
      <c r="J40" s="33">
        <f t="shared" si="11"/>
        <v>0</v>
      </c>
      <c r="K40" s="33">
        <f t="shared" si="11"/>
        <v>0</v>
      </c>
      <c r="L40" s="33">
        <f t="shared" si="11"/>
        <v>0</v>
      </c>
      <c r="M40" s="33">
        <f t="shared" si="11"/>
        <v>0</v>
      </c>
      <c r="N40" s="147" t="b">
        <v>0</v>
      </c>
      <c r="O40" s="32"/>
      <c r="P40" s="32"/>
      <c r="Q40" s="32"/>
      <c r="R40" s="32"/>
      <c r="S40" s="32"/>
      <c r="T40" s="118"/>
      <c r="U40" s="32"/>
      <c r="V40" s="32"/>
      <c r="W40" s="32"/>
      <c r="X40" s="32"/>
      <c r="Y40" s="32"/>
      <c r="Z40" s="32"/>
      <c r="AA40" s="32"/>
      <c r="AB40" s="32"/>
      <c r="AC40" s="32"/>
      <c r="AD40" s="32"/>
      <c r="AE40" s="32"/>
      <c r="AF40" s="32"/>
      <c r="AG40" s="32"/>
      <c r="AH40" s="32"/>
    </row>
    <row r="41" spans="1:34" x14ac:dyDescent="0.3">
      <c r="A41" s="29"/>
      <c r="B41" s="30"/>
      <c r="C41" s="31"/>
      <c r="D41" s="124"/>
      <c r="E41" s="125">
        <f t="shared" si="10"/>
        <v>0</v>
      </c>
      <c r="F41" s="33">
        <f t="shared" si="12"/>
        <v>0</v>
      </c>
      <c r="G41" s="33">
        <f t="shared" si="11"/>
        <v>0</v>
      </c>
      <c r="H41" s="33">
        <f t="shared" si="11"/>
        <v>0</v>
      </c>
      <c r="I41" s="33">
        <f t="shared" si="11"/>
        <v>0</v>
      </c>
      <c r="J41" s="33">
        <f t="shared" si="11"/>
        <v>0</v>
      </c>
      <c r="K41" s="33">
        <f t="shared" si="11"/>
        <v>0</v>
      </c>
      <c r="L41" s="33">
        <f t="shared" si="11"/>
        <v>0</v>
      </c>
      <c r="M41" s="33">
        <f t="shared" si="11"/>
        <v>0</v>
      </c>
      <c r="N41" s="147" t="b">
        <v>0</v>
      </c>
      <c r="O41" s="32"/>
      <c r="P41" s="32"/>
      <c r="Q41" s="32"/>
      <c r="R41" s="32"/>
      <c r="S41" s="32"/>
      <c r="T41" s="118"/>
      <c r="U41" s="32"/>
      <c r="V41" s="32"/>
      <c r="W41" s="32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</row>
    <row r="42" spans="1:34" ht="15" thickBot="1" x14ac:dyDescent="0.35">
      <c r="A42" s="29"/>
      <c r="B42" s="30"/>
      <c r="C42" s="31"/>
      <c r="D42" s="124"/>
      <c r="E42" s="125">
        <f t="shared" si="10"/>
        <v>0</v>
      </c>
      <c r="F42" s="33">
        <f t="shared" si="12"/>
        <v>0</v>
      </c>
      <c r="G42" s="33">
        <f t="shared" si="11"/>
        <v>0</v>
      </c>
      <c r="H42" s="33">
        <f t="shared" si="11"/>
        <v>0</v>
      </c>
      <c r="I42" s="33">
        <f t="shared" si="11"/>
        <v>0</v>
      </c>
      <c r="J42" s="33">
        <f t="shared" si="11"/>
        <v>0</v>
      </c>
      <c r="K42" s="33">
        <f t="shared" si="11"/>
        <v>0</v>
      </c>
      <c r="L42" s="33">
        <f t="shared" si="11"/>
        <v>0</v>
      </c>
      <c r="M42" s="33">
        <f t="shared" si="11"/>
        <v>0</v>
      </c>
      <c r="N42" s="148" t="b">
        <v>0</v>
      </c>
      <c r="O42" s="32"/>
      <c r="P42" s="32"/>
      <c r="Q42" s="32"/>
      <c r="R42" s="32"/>
      <c r="S42" s="32"/>
      <c r="T42" s="118"/>
      <c r="U42" s="32"/>
      <c r="V42" s="32"/>
      <c r="W42" s="32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</row>
    <row r="43" spans="1:34" x14ac:dyDescent="0.3">
      <c r="A43" s="28"/>
      <c r="B43" s="30"/>
      <c r="C43" s="31"/>
      <c r="D43" s="124"/>
      <c r="E43" s="125">
        <f t="shared" si="10"/>
        <v>0</v>
      </c>
      <c r="F43" s="33">
        <f t="shared" si="12"/>
        <v>0</v>
      </c>
      <c r="G43" s="33">
        <f t="shared" si="11"/>
        <v>0</v>
      </c>
      <c r="H43" s="33">
        <f t="shared" si="11"/>
        <v>0</v>
      </c>
      <c r="I43" s="33">
        <f t="shared" si="11"/>
        <v>0</v>
      </c>
      <c r="J43" s="33">
        <f t="shared" si="11"/>
        <v>0</v>
      </c>
      <c r="K43" s="33">
        <f t="shared" si="11"/>
        <v>0</v>
      </c>
      <c r="L43" s="33">
        <f t="shared" si="11"/>
        <v>0</v>
      </c>
      <c r="M43" s="33">
        <f t="shared" si="11"/>
        <v>0</v>
      </c>
      <c r="N43" s="147" t="b">
        <v>0</v>
      </c>
      <c r="O43" s="32"/>
      <c r="P43" s="32"/>
      <c r="Q43" s="32"/>
      <c r="R43" s="32"/>
      <c r="S43" s="32"/>
      <c r="T43" s="32"/>
      <c r="U43" s="32"/>
      <c r="V43" s="32"/>
      <c r="W43" s="32"/>
      <c r="X43" s="32"/>
      <c r="Y43" s="32"/>
      <c r="Z43" s="32"/>
      <c r="AA43" s="32"/>
      <c r="AB43" s="32"/>
      <c r="AC43" s="32"/>
      <c r="AD43" s="32"/>
      <c r="AE43" s="32"/>
      <c r="AF43" s="32"/>
      <c r="AG43" s="32"/>
      <c r="AH43" s="32"/>
    </row>
    <row r="44" spans="1:34" x14ac:dyDescent="0.3">
      <c r="A44" s="29"/>
      <c r="B44" s="30"/>
      <c r="C44" s="31"/>
      <c r="D44" s="124"/>
      <c r="E44" s="125">
        <f t="shared" si="10"/>
        <v>0</v>
      </c>
      <c r="F44" s="33">
        <f t="shared" si="12"/>
        <v>0</v>
      </c>
      <c r="G44" s="33">
        <f t="shared" si="11"/>
        <v>0</v>
      </c>
      <c r="H44" s="33">
        <f t="shared" si="11"/>
        <v>0</v>
      </c>
      <c r="I44" s="33">
        <f t="shared" si="11"/>
        <v>0</v>
      </c>
      <c r="J44" s="33">
        <f t="shared" si="11"/>
        <v>0</v>
      </c>
      <c r="K44" s="33">
        <f t="shared" si="11"/>
        <v>0</v>
      </c>
      <c r="L44" s="33">
        <f t="shared" si="11"/>
        <v>0</v>
      </c>
      <c r="M44" s="33">
        <f t="shared" si="11"/>
        <v>0</v>
      </c>
      <c r="N44" s="147" t="b">
        <v>0</v>
      </c>
      <c r="O44" s="32"/>
      <c r="P44" s="32"/>
      <c r="Q44" s="32"/>
      <c r="R44" s="32"/>
      <c r="S44" s="32"/>
      <c r="T44" s="32"/>
      <c r="U44" s="32"/>
      <c r="V44" s="32"/>
      <c r="W44" s="32"/>
      <c r="X44" s="32"/>
      <c r="Y44" s="32"/>
      <c r="Z44" s="32"/>
      <c r="AA44" s="32"/>
      <c r="AB44" s="32"/>
      <c r="AC44" s="32"/>
      <c r="AD44" s="32"/>
      <c r="AE44" s="32"/>
      <c r="AF44" s="32"/>
      <c r="AG44" s="32"/>
      <c r="AH44" s="32"/>
    </row>
    <row r="45" spans="1:34" ht="15" thickBot="1" x14ac:dyDescent="0.35">
      <c r="A45" s="29"/>
      <c r="B45" s="30"/>
      <c r="C45" s="31"/>
      <c r="D45" s="124"/>
      <c r="E45" s="125">
        <f t="shared" si="10"/>
        <v>0</v>
      </c>
      <c r="F45" s="33">
        <f t="shared" si="12"/>
        <v>0</v>
      </c>
      <c r="G45" s="33">
        <f t="shared" si="11"/>
        <v>0</v>
      </c>
      <c r="H45" s="33">
        <f t="shared" si="11"/>
        <v>0</v>
      </c>
      <c r="I45" s="33">
        <f t="shared" si="11"/>
        <v>0</v>
      </c>
      <c r="J45" s="33">
        <f t="shared" si="11"/>
        <v>0</v>
      </c>
      <c r="K45" s="33">
        <f t="shared" si="11"/>
        <v>0</v>
      </c>
      <c r="L45" s="33">
        <f t="shared" si="11"/>
        <v>0</v>
      </c>
      <c r="M45" s="33">
        <f t="shared" si="11"/>
        <v>0</v>
      </c>
      <c r="N45" s="148" t="b">
        <v>0</v>
      </c>
      <c r="O45" s="32"/>
      <c r="P45" s="32"/>
      <c r="Q45" s="32"/>
      <c r="R45" s="32"/>
      <c r="S45" s="32"/>
      <c r="T45" s="32"/>
      <c r="U45" s="32"/>
      <c r="V45" s="32"/>
      <c r="W45" s="32"/>
      <c r="X45" s="32"/>
      <c r="Y45" s="32"/>
      <c r="Z45" s="32"/>
      <c r="AA45" s="32"/>
      <c r="AB45" s="32"/>
      <c r="AC45" s="32"/>
      <c r="AD45" s="32"/>
      <c r="AE45" s="32"/>
      <c r="AF45" s="32"/>
      <c r="AG45" s="32"/>
      <c r="AH45" s="32"/>
    </row>
    <row r="46" spans="1:34" ht="15" thickBot="1" x14ac:dyDescent="0.35">
      <c r="A46" s="90" t="s">
        <v>105</v>
      </c>
      <c r="B46" s="91"/>
      <c r="C46" s="92"/>
      <c r="D46" s="92" t="s">
        <v>32</v>
      </c>
      <c r="E46" s="93" t="s">
        <v>33</v>
      </c>
      <c r="F46" s="94"/>
      <c r="G46" s="95"/>
      <c r="H46" s="95"/>
      <c r="I46" s="95"/>
      <c r="J46" s="95"/>
      <c r="K46" s="95"/>
      <c r="L46" s="95"/>
      <c r="M46" s="95"/>
      <c r="N46" s="96"/>
      <c r="O46" s="32"/>
      <c r="P46" s="32"/>
      <c r="Q46" s="32"/>
      <c r="R46" s="32"/>
      <c r="S46" s="32"/>
      <c r="T46" s="32"/>
      <c r="U46" s="32"/>
      <c r="V46" s="32"/>
      <c r="W46" s="32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</row>
    <row r="47" spans="1:34" x14ac:dyDescent="0.3">
      <c r="A47" s="29"/>
      <c r="B47" s="30"/>
      <c r="C47" s="31"/>
      <c r="D47" s="127"/>
      <c r="E47" s="126"/>
      <c r="F47" s="33">
        <f>($D47/F$13)+$E47</f>
        <v>0</v>
      </c>
      <c r="G47" s="33">
        <f t="shared" ref="G47:M51" si="13">($D47/G$13)+$E47</f>
        <v>0</v>
      </c>
      <c r="H47" s="33">
        <f t="shared" si="13"/>
        <v>0</v>
      </c>
      <c r="I47" s="33">
        <f>($D47/I$13)+$E47</f>
        <v>0</v>
      </c>
      <c r="J47" s="33">
        <f t="shared" ref="J47:K51" si="14">($D47/J$13)+$E47</f>
        <v>0</v>
      </c>
      <c r="K47" s="33">
        <f t="shared" si="14"/>
        <v>0</v>
      </c>
      <c r="L47" s="33">
        <f>($D47/L$13)+$E47</f>
        <v>0</v>
      </c>
      <c r="M47" s="33">
        <f>($D47/M$13)+$E47</f>
        <v>0</v>
      </c>
      <c r="N47" s="33"/>
      <c r="O47" s="32"/>
      <c r="P47" s="32"/>
      <c r="Q47" s="32"/>
      <c r="R47" s="32"/>
      <c r="S47" s="32"/>
      <c r="T47" s="32"/>
      <c r="U47" s="32"/>
      <c r="V47" s="32"/>
      <c r="W47" s="32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</row>
    <row r="48" spans="1:34" x14ac:dyDescent="0.3">
      <c r="A48" s="29"/>
      <c r="B48" s="30"/>
      <c r="C48" s="31"/>
      <c r="D48" s="127"/>
      <c r="E48" s="126"/>
      <c r="F48" s="33">
        <f>($D48/F$13)+$E48</f>
        <v>0</v>
      </c>
      <c r="G48" s="33">
        <f t="shared" si="13"/>
        <v>0</v>
      </c>
      <c r="H48" s="33">
        <f t="shared" si="13"/>
        <v>0</v>
      </c>
      <c r="I48" s="33">
        <f t="shared" si="13"/>
        <v>0</v>
      </c>
      <c r="J48" s="33">
        <f t="shared" si="14"/>
        <v>0</v>
      </c>
      <c r="K48" s="33">
        <f t="shared" si="14"/>
        <v>0</v>
      </c>
      <c r="L48" s="33">
        <f t="shared" si="13"/>
        <v>0</v>
      </c>
      <c r="M48" s="33">
        <f t="shared" si="13"/>
        <v>0</v>
      </c>
      <c r="N48" s="33"/>
      <c r="O48" s="32"/>
      <c r="P48" s="32"/>
      <c r="Q48" s="32"/>
      <c r="R48" s="32"/>
      <c r="S48" s="32"/>
      <c r="T48" s="32"/>
      <c r="U48" s="32"/>
      <c r="V48" s="32"/>
      <c r="W48" s="32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</row>
    <row r="49" spans="1:34" x14ac:dyDescent="0.3">
      <c r="A49" s="29"/>
      <c r="B49" s="30"/>
      <c r="C49" s="31"/>
      <c r="D49" s="127"/>
      <c r="E49" s="126"/>
      <c r="F49" s="33">
        <f t="shared" ref="F49:F51" si="15">($D49/F$13)+$E49</f>
        <v>0</v>
      </c>
      <c r="G49" s="33">
        <f t="shared" si="13"/>
        <v>0</v>
      </c>
      <c r="H49" s="33">
        <f t="shared" si="13"/>
        <v>0</v>
      </c>
      <c r="I49" s="33">
        <f t="shared" si="13"/>
        <v>0</v>
      </c>
      <c r="J49" s="33">
        <f t="shared" si="14"/>
        <v>0</v>
      </c>
      <c r="K49" s="33">
        <f t="shared" si="14"/>
        <v>0</v>
      </c>
      <c r="L49" s="33">
        <f t="shared" si="13"/>
        <v>0</v>
      </c>
      <c r="M49" s="33">
        <f t="shared" si="13"/>
        <v>0</v>
      </c>
      <c r="N49" s="33"/>
      <c r="O49" s="32"/>
      <c r="P49" s="32"/>
      <c r="Q49" s="32"/>
      <c r="R49" s="32"/>
      <c r="S49" s="32"/>
      <c r="T49" s="32"/>
      <c r="U49" s="32"/>
      <c r="V49" s="32"/>
      <c r="W49" s="32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</row>
    <row r="50" spans="1:34" x14ac:dyDescent="0.3">
      <c r="A50" s="29"/>
      <c r="B50" s="30"/>
      <c r="C50" s="31"/>
      <c r="D50" s="127"/>
      <c r="E50" s="126"/>
      <c r="F50" s="33">
        <f t="shared" si="15"/>
        <v>0</v>
      </c>
      <c r="G50" s="33">
        <f t="shared" si="13"/>
        <v>0</v>
      </c>
      <c r="H50" s="33">
        <f t="shared" si="13"/>
        <v>0</v>
      </c>
      <c r="I50" s="33">
        <f t="shared" si="13"/>
        <v>0</v>
      </c>
      <c r="J50" s="33">
        <f t="shared" si="14"/>
        <v>0</v>
      </c>
      <c r="K50" s="33">
        <f t="shared" si="14"/>
        <v>0</v>
      </c>
      <c r="L50" s="33">
        <f t="shared" si="13"/>
        <v>0</v>
      </c>
      <c r="M50" s="33">
        <f t="shared" si="13"/>
        <v>0</v>
      </c>
      <c r="N50" s="33"/>
      <c r="O50" s="32"/>
      <c r="P50" s="32"/>
      <c r="Q50" s="32"/>
      <c r="R50" s="32"/>
      <c r="S50" s="32"/>
      <c r="T50" s="32"/>
      <c r="U50" s="32"/>
      <c r="V50" s="32"/>
      <c r="W50" s="32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</row>
    <row r="51" spans="1:34" ht="15" thickBot="1" x14ac:dyDescent="0.35">
      <c r="A51" s="39"/>
      <c r="B51" s="40"/>
      <c r="C51" s="41"/>
      <c r="D51" s="128"/>
      <c r="E51" s="129"/>
      <c r="F51" s="33">
        <f t="shared" si="15"/>
        <v>0</v>
      </c>
      <c r="G51" s="33">
        <f t="shared" si="13"/>
        <v>0</v>
      </c>
      <c r="H51" s="33">
        <f t="shared" si="13"/>
        <v>0</v>
      </c>
      <c r="I51" s="33">
        <f t="shared" si="13"/>
        <v>0</v>
      </c>
      <c r="J51" s="33">
        <f t="shared" si="14"/>
        <v>0</v>
      </c>
      <c r="K51" s="33">
        <f t="shared" si="14"/>
        <v>0</v>
      </c>
      <c r="L51" s="33">
        <f t="shared" si="13"/>
        <v>0</v>
      </c>
      <c r="M51" s="33">
        <f t="shared" si="13"/>
        <v>0</v>
      </c>
      <c r="N51" s="34"/>
      <c r="O51" s="32"/>
      <c r="P51" s="32"/>
      <c r="Q51" s="32"/>
      <c r="R51" s="32"/>
      <c r="S51" s="32"/>
      <c r="T51" s="32"/>
      <c r="U51" s="32"/>
      <c r="V51" s="32"/>
      <c r="W51" s="32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</row>
    <row r="52" spans="1:34" x14ac:dyDescent="0.3">
      <c r="A52" s="2"/>
      <c r="B52" s="216" t="s">
        <v>16</v>
      </c>
      <c r="C52" s="216"/>
      <c r="D52" s="216"/>
      <c r="E52" s="217"/>
      <c r="F52" s="59">
        <f>SUM(F34:F45)</f>
        <v>0</v>
      </c>
      <c r="G52" s="59">
        <f t="shared" ref="G52:M52" si="16">SUM(G34:G45)</f>
        <v>0</v>
      </c>
      <c r="H52" s="59">
        <f t="shared" ref="H52" si="17">SUM(H34:H45)</f>
        <v>0</v>
      </c>
      <c r="I52" s="59">
        <f t="shared" si="16"/>
        <v>0</v>
      </c>
      <c r="J52" s="59">
        <f t="shared" ref="J52:K52" si="18">SUM(J34:J45)</f>
        <v>0</v>
      </c>
      <c r="K52" s="59">
        <f t="shared" si="18"/>
        <v>0</v>
      </c>
      <c r="L52" s="59">
        <f t="shared" si="16"/>
        <v>0</v>
      </c>
      <c r="M52" s="59">
        <f t="shared" si="16"/>
        <v>0</v>
      </c>
      <c r="N52" s="60">
        <f>IF(N13=0,0,SUM(N43:N45))</f>
        <v>0</v>
      </c>
      <c r="O52" s="32"/>
      <c r="P52" s="32"/>
      <c r="Q52" s="32"/>
      <c r="R52" s="32"/>
      <c r="S52" s="32"/>
      <c r="T52" s="32"/>
      <c r="U52" s="32"/>
      <c r="V52" s="32"/>
      <c r="W52" s="32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</row>
    <row r="53" spans="1:34" x14ac:dyDescent="0.3">
      <c r="A53" s="3"/>
      <c r="B53" s="218" t="s">
        <v>17</v>
      </c>
      <c r="C53" s="218"/>
      <c r="D53" s="218"/>
      <c r="E53" s="219"/>
      <c r="F53" s="13">
        <f>SUM(F47:F51)</f>
        <v>0</v>
      </c>
      <c r="G53" s="13">
        <f t="shared" ref="G53:M53" si="19">SUM(G47:G51)</f>
        <v>0</v>
      </c>
      <c r="H53" s="13">
        <f t="shared" si="19"/>
        <v>0</v>
      </c>
      <c r="I53" s="13">
        <f t="shared" si="19"/>
        <v>0</v>
      </c>
      <c r="J53" s="13">
        <f t="shared" ref="J53:K53" si="20">SUM(J47:J51)</f>
        <v>0</v>
      </c>
      <c r="K53" s="13">
        <f t="shared" si="20"/>
        <v>0</v>
      </c>
      <c r="L53" s="13">
        <f t="shared" si="19"/>
        <v>0</v>
      </c>
      <c r="M53" s="13">
        <f t="shared" si="19"/>
        <v>0</v>
      </c>
      <c r="N53" s="61">
        <f>IF(N13=0,0,SUM(N47:N51))</f>
        <v>0</v>
      </c>
      <c r="O53" s="32"/>
      <c r="P53" s="32"/>
      <c r="Q53" s="32"/>
      <c r="R53" s="32"/>
      <c r="S53" s="32"/>
      <c r="T53" s="32"/>
      <c r="U53" s="32"/>
      <c r="V53" s="32"/>
      <c r="W53" s="32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</row>
    <row r="54" spans="1:34" ht="15" thickBot="1" x14ac:dyDescent="0.35">
      <c r="A54" s="4"/>
      <c r="B54" s="220" t="s">
        <v>18</v>
      </c>
      <c r="C54" s="220"/>
      <c r="D54" s="220"/>
      <c r="E54" s="221"/>
      <c r="F54" s="62">
        <f>SUM(F31+F52+F53)</f>
        <v>0</v>
      </c>
      <c r="G54" s="62">
        <f t="shared" ref="G54:L54" si="21">SUM(G31+G52+G53)</f>
        <v>0</v>
      </c>
      <c r="H54" s="62">
        <f t="shared" si="21"/>
        <v>0</v>
      </c>
      <c r="I54" s="62">
        <f t="shared" si="21"/>
        <v>0</v>
      </c>
      <c r="J54" s="62">
        <f t="shared" ref="J54:K54" si="22">SUM(J31+J52+J53)</f>
        <v>0</v>
      </c>
      <c r="K54" s="62">
        <f t="shared" si="22"/>
        <v>0</v>
      </c>
      <c r="L54" s="62">
        <f t="shared" si="21"/>
        <v>0</v>
      </c>
      <c r="M54" s="62">
        <f>SUM(M31+M52+M53)</f>
        <v>0</v>
      </c>
      <c r="N54" s="62">
        <f>IF(N13=0,0,SUM(N31+N52+N53))</f>
        <v>0</v>
      </c>
      <c r="O54" s="32"/>
      <c r="P54" s="32"/>
      <c r="Q54" s="32"/>
      <c r="R54" s="32"/>
      <c r="S54" s="32"/>
      <c r="T54" s="32"/>
      <c r="U54" s="32"/>
      <c r="V54" s="32"/>
      <c r="W54" s="32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</row>
    <row r="55" spans="1:34" ht="15" thickBot="1" x14ac:dyDescent="0.35">
      <c r="A55" s="113"/>
      <c r="B55" s="93"/>
      <c r="C55" s="93"/>
      <c r="D55" s="93"/>
      <c r="E55" s="93"/>
      <c r="F55" s="114"/>
      <c r="G55" s="114"/>
      <c r="H55" s="114"/>
      <c r="I55" s="114"/>
      <c r="J55" s="114"/>
      <c r="K55" s="114"/>
      <c r="L55" s="114"/>
      <c r="M55" s="114"/>
      <c r="N55" s="114"/>
      <c r="O55" s="32"/>
      <c r="P55" s="32"/>
      <c r="Q55" s="32"/>
      <c r="R55" s="32"/>
      <c r="S55" s="32"/>
      <c r="T55" s="32"/>
      <c r="U55" s="32"/>
      <c r="V55" s="32"/>
      <c r="W55" s="32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</row>
    <row r="56" spans="1:34" x14ac:dyDescent="0.3">
      <c r="A56" s="3"/>
      <c r="D56" s="64" t="s">
        <v>19</v>
      </c>
      <c r="E56" s="65">
        <f>VLOOKUP(D56,[1]!Rates2020,$B$83, FALSE)</f>
        <v>0.2</v>
      </c>
      <c r="F56" s="13">
        <f>F31*$E56</f>
        <v>0</v>
      </c>
      <c r="G56" s="13">
        <f t="shared" ref="G56:M56" si="23">G31*$E56</f>
        <v>0</v>
      </c>
      <c r="H56" s="13">
        <f t="shared" si="23"/>
        <v>0</v>
      </c>
      <c r="I56" s="13">
        <f t="shared" si="23"/>
        <v>0</v>
      </c>
      <c r="J56" s="13">
        <f t="shared" ref="J56:K56" si="24">J31*$E56</f>
        <v>0</v>
      </c>
      <c r="K56" s="13">
        <f t="shared" si="24"/>
        <v>0</v>
      </c>
      <c r="L56" s="13">
        <f t="shared" si="23"/>
        <v>0</v>
      </c>
      <c r="M56" s="13">
        <f t="shared" si="23"/>
        <v>0</v>
      </c>
      <c r="N56" s="13"/>
      <c r="O56" s="32"/>
      <c r="P56" s="32"/>
      <c r="Q56" s="32"/>
      <c r="R56" s="32"/>
      <c r="S56" s="32"/>
      <c r="T56" s="32"/>
      <c r="U56" s="32"/>
      <c r="V56" s="32"/>
      <c r="W56" s="32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</row>
    <row r="57" spans="1:34" x14ac:dyDescent="0.3">
      <c r="A57" s="3"/>
      <c r="D57" s="64" t="s">
        <v>23</v>
      </c>
      <c r="E57" s="65">
        <f>VLOOKUP(D57,[1]!Rates2020,$B$83, FALSE)</f>
        <v>0.2</v>
      </c>
      <c r="F57" s="13">
        <f>F52*$E57</f>
        <v>0</v>
      </c>
      <c r="G57" s="13">
        <f t="shared" ref="G57:M58" si="25">G52*$E57</f>
        <v>0</v>
      </c>
      <c r="H57" s="13">
        <f t="shared" si="25"/>
        <v>0</v>
      </c>
      <c r="I57" s="13">
        <f t="shared" si="25"/>
        <v>0</v>
      </c>
      <c r="J57" s="13">
        <f t="shared" ref="J57:K57" si="26">J52*$E57</f>
        <v>0</v>
      </c>
      <c r="K57" s="13">
        <f t="shared" si="26"/>
        <v>0</v>
      </c>
      <c r="L57" s="13">
        <f t="shared" si="25"/>
        <v>0</v>
      </c>
      <c r="M57" s="13">
        <f t="shared" si="25"/>
        <v>0</v>
      </c>
      <c r="N57" s="13"/>
      <c r="O57" s="32"/>
      <c r="P57" s="32"/>
      <c r="Q57" s="32"/>
      <c r="R57" s="32"/>
      <c r="S57" s="32"/>
      <c r="T57" s="32"/>
      <c r="U57" s="32"/>
      <c r="V57" s="32"/>
      <c r="W57" s="32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</row>
    <row r="58" spans="1:34" x14ac:dyDescent="0.3">
      <c r="A58" s="3"/>
      <c r="D58" s="64" t="s">
        <v>48</v>
      </c>
      <c r="E58" s="65">
        <f>VLOOKUP(D58,[1]!Rates2020,$B$83, FALSE)</f>
        <v>0.2</v>
      </c>
      <c r="F58" s="13">
        <f>F53*$E58</f>
        <v>0</v>
      </c>
      <c r="G58" s="13">
        <f t="shared" ref="G58:M58" si="27">G53*$E58</f>
        <v>0</v>
      </c>
      <c r="H58" s="13">
        <f t="shared" si="25"/>
        <v>0</v>
      </c>
      <c r="I58" s="13">
        <f t="shared" si="27"/>
        <v>0</v>
      </c>
      <c r="J58" s="13">
        <f t="shared" ref="J58:K58" si="28">J53*$E58</f>
        <v>0</v>
      </c>
      <c r="K58" s="13">
        <f t="shared" si="28"/>
        <v>0</v>
      </c>
      <c r="L58" s="13">
        <f t="shared" si="27"/>
        <v>0</v>
      </c>
      <c r="M58" s="13">
        <f t="shared" si="27"/>
        <v>0</v>
      </c>
      <c r="N58" s="13"/>
      <c r="O58" s="32"/>
      <c r="P58" s="32"/>
      <c r="Q58" s="32"/>
      <c r="R58" s="32"/>
      <c r="S58" s="32"/>
      <c r="T58" s="32"/>
      <c r="U58" s="32"/>
      <c r="V58" s="32"/>
      <c r="W58" s="32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</row>
    <row r="59" spans="1:34" ht="15" thickBot="1" x14ac:dyDescent="0.35">
      <c r="A59" s="4"/>
      <c r="B59" s="1"/>
      <c r="C59" s="1"/>
      <c r="D59" s="1"/>
      <c r="E59" s="66" t="s">
        <v>20</v>
      </c>
      <c r="F59" s="67">
        <f>SUM(F56:F58)</f>
        <v>0</v>
      </c>
      <c r="G59" s="67">
        <f t="shared" ref="G59:M59" si="29">SUM(G56:G58)</f>
        <v>0</v>
      </c>
      <c r="H59" s="67">
        <f t="shared" si="29"/>
        <v>0</v>
      </c>
      <c r="I59" s="67">
        <f t="shared" si="29"/>
        <v>0</v>
      </c>
      <c r="J59" s="67">
        <f t="shared" ref="J59:K59" si="30">SUM(J56:J58)</f>
        <v>0</v>
      </c>
      <c r="K59" s="67">
        <f t="shared" si="30"/>
        <v>0</v>
      </c>
      <c r="L59" s="67">
        <f t="shared" si="29"/>
        <v>0</v>
      </c>
      <c r="M59" s="67">
        <f t="shared" si="29"/>
        <v>0</v>
      </c>
      <c r="N59" s="67"/>
      <c r="O59" s="32"/>
      <c r="P59" s="32"/>
      <c r="Q59" s="32"/>
      <c r="R59" s="32"/>
      <c r="S59" s="32"/>
      <c r="T59" s="32"/>
      <c r="U59" s="32"/>
      <c r="V59" s="32"/>
      <c r="W59" s="32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</row>
    <row r="60" spans="1:34" x14ac:dyDescent="0.3">
      <c r="A60" s="2"/>
      <c r="B60" s="63"/>
      <c r="C60" s="63"/>
      <c r="D60" s="68" t="s">
        <v>21</v>
      </c>
      <c r="E60" s="174">
        <f>VLOOKUP(D60,[1]!Rates2020,$B$83, FALSE)</f>
        <v>0.2</v>
      </c>
      <c r="F60" s="59">
        <f>(F31+F56)*$E60</f>
        <v>0</v>
      </c>
      <c r="G60" s="59">
        <f t="shared" ref="G60:M60" si="31">(G31+G56)*$E60</f>
        <v>0</v>
      </c>
      <c r="H60" s="59">
        <f t="shared" si="31"/>
        <v>0</v>
      </c>
      <c r="I60" s="59">
        <f t="shared" si="31"/>
        <v>0</v>
      </c>
      <c r="J60" s="59">
        <f t="shared" ref="J60:K60" si="32">(J31+J56)*$E60</f>
        <v>0</v>
      </c>
      <c r="K60" s="59">
        <f t="shared" si="32"/>
        <v>0</v>
      </c>
      <c r="L60" s="59">
        <f t="shared" si="31"/>
        <v>0</v>
      </c>
      <c r="M60" s="59">
        <f t="shared" si="31"/>
        <v>0</v>
      </c>
      <c r="N60" s="59"/>
      <c r="O60" s="32"/>
      <c r="P60" s="32"/>
      <c r="Q60" s="32"/>
      <c r="R60" s="32"/>
      <c r="S60" s="32"/>
      <c r="T60" s="32"/>
      <c r="U60" s="32"/>
      <c r="V60" s="32"/>
      <c r="W60" s="32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</row>
    <row r="61" spans="1:34" x14ac:dyDescent="0.3">
      <c r="A61" s="3"/>
      <c r="D61" s="64" t="s">
        <v>46</v>
      </c>
      <c r="E61" s="65">
        <f>VLOOKUP(D61,[1]!Rates2020,$B$83, FALSE)</f>
        <v>0.2</v>
      </c>
      <c r="F61" s="13">
        <f>(+F57+F52)*$E61</f>
        <v>0</v>
      </c>
      <c r="G61" s="13">
        <f t="shared" ref="G61:M62" si="33">(+G57+G52)*$E61</f>
        <v>0</v>
      </c>
      <c r="H61" s="13">
        <f t="shared" si="33"/>
        <v>0</v>
      </c>
      <c r="I61" s="13">
        <f t="shared" si="33"/>
        <v>0</v>
      </c>
      <c r="J61" s="13">
        <f t="shared" ref="J61:K61" si="34">(+J57+J52)*$E61</f>
        <v>0</v>
      </c>
      <c r="K61" s="13">
        <f t="shared" si="34"/>
        <v>0</v>
      </c>
      <c r="L61" s="13">
        <f t="shared" si="33"/>
        <v>0</v>
      </c>
      <c r="M61" s="13">
        <f t="shared" si="33"/>
        <v>0</v>
      </c>
      <c r="N61" s="13"/>
      <c r="O61" s="32"/>
      <c r="P61" s="32"/>
      <c r="Q61" s="32"/>
      <c r="R61" s="32"/>
      <c r="S61" s="32"/>
      <c r="T61" s="32"/>
      <c r="U61" s="32"/>
      <c r="V61" s="32"/>
      <c r="W61" s="32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</row>
    <row r="62" spans="1:34" x14ac:dyDescent="0.3">
      <c r="A62" s="3"/>
      <c r="D62" s="64" t="s">
        <v>47</v>
      </c>
      <c r="E62" s="175">
        <f>VLOOKUP(D62,[1]!Rates2020,$B$83, FALSE)</f>
        <v>0.2</v>
      </c>
      <c r="F62" s="13">
        <f>(+F58+F53)*$E62</f>
        <v>0</v>
      </c>
      <c r="G62" s="13">
        <f t="shared" ref="G62:M62" si="35">(+G58+G53)*$E62</f>
        <v>0</v>
      </c>
      <c r="H62" s="13">
        <f t="shared" si="33"/>
        <v>0</v>
      </c>
      <c r="I62" s="13">
        <f t="shared" si="35"/>
        <v>0</v>
      </c>
      <c r="J62" s="13">
        <f t="shared" ref="J62:K62" si="36">(+J58+J53)*$E62</f>
        <v>0</v>
      </c>
      <c r="K62" s="13">
        <f t="shared" si="36"/>
        <v>0</v>
      </c>
      <c r="L62" s="13">
        <f t="shared" si="35"/>
        <v>0</v>
      </c>
      <c r="M62" s="13">
        <f t="shared" si="35"/>
        <v>0</v>
      </c>
      <c r="N62" s="13"/>
      <c r="O62" s="32"/>
      <c r="P62" s="32"/>
      <c r="Q62" s="32"/>
      <c r="R62" s="32"/>
      <c r="S62" s="32"/>
      <c r="T62" s="32"/>
      <c r="U62" s="32"/>
      <c r="V62" s="32"/>
      <c r="W62" s="32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</row>
    <row r="63" spans="1:34" ht="14.25" customHeight="1" thickBot="1" x14ac:dyDescent="0.35">
      <c r="A63" s="4"/>
      <c r="B63" s="1"/>
      <c r="C63" s="1"/>
      <c r="D63" s="1"/>
      <c r="E63" s="66" t="s">
        <v>20</v>
      </c>
      <c r="F63" s="67">
        <f>SUM(F60:F62)</f>
        <v>0</v>
      </c>
      <c r="G63" s="67">
        <f t="shared" ref="G63:M63" si="37">SUM(G60:G62)</f>
        <v>0</v>
      </c>
      <c r="H63" s="67">
        <f t="shared" si="37"/>
        <v>0</v>
      </c>
      <c r="I63" s="67">
        <f t="shared" si="37"/>
        <v>0</v>
      </c>
      <c r="J63" s="67">
        <f t="shared" ref="J63:K63" si="38">SUM(J60:J62)</f>
        <v>0</v>
      </c>
      <c r="K63" s="67">
        <f t="shared" si="38"/>
        <v>0</v>
      </c>
      <c r="L63" s="67">
        <f t="shared" si="37"/>
        <v>0</v>
      </c>
      <c r="M63" s="67">
        <f t="shared" si="37"/>
        <v>0</v>
      </c>
      <c r="N63" s="67"/>
      <c r="O63" s="32"/>
      <c r="P63" s="32"/>
      <c r="Q63" s="224" t="s">
        <v>50</v>
      </c>
      <c r="R63" s="225"/>
      <c r="S63" s="226"/>
      <c r="T63" s="32"/>
      <c r="U63" s="32"/>
      <c r="V63" s="32"/>
      <c r="W63" s="32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</row>
    <row r="64" spans="1:34" ht="12" hidden="1" customHeight="1" thickBot="1" x14ac:dyDescent="0.35">
      <c r="A64" s="2"/>
      <c r="B64" s="63"/>
      <c r="C64" s="63"/>
      <c r="D64" s="63"/>
      <c r="E64" s="81" t="s">
        <v>45</v>
      </c>
      <c r="F64" s="82">
        <f>SUM(F54+F59+F63)</f>
        <v>0</v>
      </c>
      <c r="G64" s="83">
        <f t="shared" ref="G64:N64" si="39">SUM(G54+G59+G63)</f>
        <v>0</v>
      </c>
      <c r="H64" s="83">
        <f t="shared" si="39"/>
        <v>0</v>
      </c>
      <c r="I64" s="83">
        <f t="shared" si="39"/>
        <v>0</v>
      </c>
      <c r="J64" s="83"/>
      <c r="K64" s="83"/>
      <c r="L64" s="83">
        <f t="shared" si="39"/>
        <v>0</v>
      </c>
      <c r="M64" s="83">
        <f t="shared" si="39"/>
        <v>0</v>
      </c>
      <c r="N64" s="84">
        <f t="shared" si="39"/>
        <v>0</v>
      </c>
      <c r="O64" s="32"/>
      <c r="P64" s="32"/>
      <c r="Q64" s="32"/>
      <c r="R64" s="32"/>
      <c r="S64" s="32"/>
      <c r="T64" s="32"/>
      <c r="U64" s="32"/>
      <c r="V64" s="32"/>
      <c r="W64" s="32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</row>
    <row r="65" spans="1:34" ht="15.75" hidden="1" customHeight="1" thickBot="1" x14ac:dyDescent="0.35">
      <c r="A65" s="3"/>
      <c r="D65" s="203" t="s">
        <v>22</v>
      </c>
      <c r="E65" s="204"/>
      <c r="F65" s="69" t="e">
        <f>(F64-F54)/F64</f>
        <v>#DIV/0!</v>
      </c>
      <c r="G65" s="70" t="e">
        <f t="shared" ref="G65:M65" si="40">(G64-G54)/G64</f>
        <v>#DIV/0!</v>
      </c>
      <c r="H65" s="70" t="e">
        <f t="shared" si="40"/>
        <v>#DIV/0!</v>
      </c>
      <c r="I65" s="70" t="e">
        <f t="shared" si="40"/>
        <v>#DIV/0!</v>
      </c>
      <c r="J65" s="70"/>
      <c r="K65" s="70"/>
      <c r="L65" s="70" t="e">
        <f t="shared" si="40"/>
        <v>#DIV/0!</v>
      </c>
      <c r="M65" s="70" t="e">
        <f t="shared" si="40"/>
        <v>#DIV/0!</v>
      </c>
      <c r="N65" s="71"/>
      <c r="O65" s="32"/>
      <c r="P65" s="32"/>
      <c r="Q65" s="32"/>
      <c r="R65" s="32"/>
      <c r="S65" s="32"/>
      <c r="T65" s="32"/>
      <c r="U65" s="32"/>
      <c r="V65" s="32"/>
      <c r="W65" s="32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</row>
    <row r="66" spans="1:34" x14ac:dyDescent="0.3">
      <c r="A66" s="3"/>
      <c r="B66" s="27"/>
      <c r="D66" s="203" t="s">
        <v>34</v>
      </c>
      <c r="E66" s="204"/>
      <c r="F66" s="72">
        <f>SUM((F31,F56,F60))</f>
        <v>0</v>
      </c>
      <c r="G66" s="72">
        <f>SUM((G31,G56,G60))</f>
        <v>0</v>
      </c>
      <c r="H66" s="72">
        <f>SUM((H31,H56,H60))</f>
        <v>0</v>
      </c>
      <c r="I66" s="72">
        <f>SUM((I31,I56,I60))</f>
        <v>0</v>
      </c>
      <c r="J66" s="72">
        <f>SUM((J31,J56,J60))</f>
        <v>0</v>
      </c>
      <c r="K66" s="72">
        <f>SUM((K31,K56,K60))</f>
        <v>0</v>
      </c>
      <c r="L66" s="72">
        <f>SUM((L31,L56,L60))</f>
        <v>0</v>
      </c>
      <c r="M66" s="72">
        <f>SUM((M31,M56,M60))</f>
        <v>0</v>
      </c>
      <c r="N66" s="59">
        <f>SUM((N31,N56,N60))</f>
        <v>0</v>
      </c>
      <c r="O66" s="32"/>
      <c r="P66" s="32"/>
      <c r="Q66" s="132" t="s">
        <v>41</v>
      </c>
      <c r="R66" s="132" t="s">
        <v>51</v>
      </c>
      <c r="S66" s="132" t="s">
        <v>52</v>
      </c>
      <c r="T66" s="32"/>
      <c r="U66" s="32"/>
      <c r="V66" s="32"/>
      <c r="W66" s="32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</row>
    <row r="67" spans="1:34" x14ac:dyDescent="0.3">
      <c r="A67" s="3"/>
      <c r="B67" s="27"/>
      <c r="C67" s="203" t="s">
        <v>35</v>
      </c>
      <c r="D67" s="203"/>
      <c r="E67" s="204"/>
      <c r="F67" s="12">
        <f>(F52+F57+F61)</f>
        <v>0</v>
      </c>
      <c r="G67" s="12">
        <f t="shared" ref="G67:N67" si="41">(G52+G57+G61)</f>
        <v>0</v>
      </c>
      <c r="H67" s="12">
        <f t="shared" si="41"/>
        <v>0</v>
      </c>
      <c r="I67" s="12">
        <f t="shared" si="41"/>
        <v>0</v>
      </c>
      <c r="J67" s="12">
        <f t="shared" ref="J67:K67" si="42">(J52+J57+J61)</f>
        <v>0</v>
      </c>
      <c r="K67" s="12">
        <f t="shared" si="42"/>
        <v>0</v>
      </c>
      <c r="L67" s="12">
        <f t="shared" si="41"/>
        <v>0</v>
      </c>
      <c r="M67" s="12">
        <f t="shared" si="41"/>
        <v>0</v>
      </c>
      <c r="N67" s="13">
        <f t="shared" si="41"/>
        <v>0</v>
      </c>
      <c r="O67" s="32"/>
      <c r="P67" s="32"/>
      <c r="Q67" s="133">
        <f>F13</f>
        <v>10</v>
      </c>
      <c r="R67" s="134">
        <f>F74</f>
        <v>0</v>
      </c>
      <c r="S67" s="134">
        <f>R67*Q67</f>
        <v>0</v>
      </c>
      <c r="T67" s="32"/>
      <c r="U67" s="32"/>
      <c r="V67" s="32"/>
      <c r="W67" s="32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</row>
    <row r="68" spans="1:34" x14ac:dyDescent="0.3">
      <c r="A68" s="3"/>
      <c r="B68" s="27"/>
      <c r="D68" s="203" t="s">
        <v>36</v>
      </c>
      <c r="E68" s="204"/>
      <c r="F68" s="12">
        <f>F53+F58+F62</f>
        <v>0</v>
      </c>
      <c r="G68" s="12">
        <f t="shared" ref="G68:N68" si="43">G53+G58+G62</f>
        <v>0</v>
      </c>
      <c r="H68" s="12">
        <f t="shared" si="43"/>
        <v>0</v>
      </c>
      <c r="I68" s="12">
        <f t="shared" si="43"/>
        <v>0</v>
      </c>
      <c r="J68" s="12">
        <f t="shared" ref="J68:K68" si="44">J53+J58+J62</f>
        <v>0</v>
      </c>
      <c r="K68" s="12">
        <f t="shared" si="44"/>
        <v>0</v>
      </c>
      <c r="L68" s="12">
        <f t="shared" si="43"/>
        <v>0</v>
      </c>
      <c r="M68" s="12">
        <f t="shared" si="43"/>
        <v>0</v>
      </c>
      <c r="N68" s="13">
        <f t="shared" si="43"/>
        <v>0</v>
      </c>
      <c r="O68" s="32"/>
      <c r="P68" s="118"/>
      <c r="Q68" s="135">
        <f>G13</f>
        <v>25</v>
      </c>
      <c r="R68" s="136">
        <f>G74</f>
        <v>0</v>
      </c>
      <c r="S68" s="136">
        <f>R68*Q68</f>
        <v>0</v>
      </c>
      <c r="T68" s="32"/>
      <c r="U68" s="32"/>
      <c r="V68" s="32"/>
      <c r="W68" s="32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</row>
    <row r="69" spans="1:34" x14ac:dyDescent="0.3">
      <c r="A69" s="3"/>
      <c r="D69" s="233" t="s">
        <v>42</v>
      </c>
      <c r="E69" s="234"/>
      <c r="F69" s="58">
        <f>SUM(F66:F68)</f>
        <v>0</v>
      </c>
      <c r="G69" s="73">
        <f t="shared" ref="G69:N69" si="45">SUM(G66:G68)</f>
        <v>0</v>
      </c>
      <c r="H69" s="58">
        <f t="shared" si="45"/>
        <v>0</v>
      </c>
      <c r="I69" s="58">
        <f t="shared" si="45"/>
        <v>0</v>
      </c>
      <c r="J69" s="58">
        <f t="shared" ref="J69:K69" si="46">SUM(J66:J68)</f>
        <v>0</v>
      </c>
      <c r="K69" s="58">
        <f t="shared" si="46"/>
        <v>0</v>
      </c>
      <c r="L69" s="58">
        <f t="shared" si="45"/>
        <v>0</v>
      </c>
      <c r="M69" s="58">
        <f t="shared" si="45"/>
        <v>0</v>
      </c>
      <c r="N69" s="73">
        <f t="shared" si="45"/>
        <v>0</v>
      </c>
      <c r="O69" s="119"/>
      <c r="P69" s="118"/>
      <c r="Q69" s="133">
        <f>H13</f>
        <v>50</v>
      </c>
      <c r="R69" s="134">
        <f>H74</f>
        <v>0</v>
      </c>
      <c r="S69" s="134">
        <f>R69*Q69</f>
        <v>0</v>
      </c>
      <c r="T69" s="32"/>
      <c r="U69" s="32"/>
      <c r="V69" s="32"/>
      <c r="W69" s="32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</row>
    <row r="70" spans="1:34" x14ac:dyDescent="0.3">
      <c r="A70" s="3"/>
      <c r="B70" s="77"/>
      <c r="D70" s="203" t="s">
        <v>40</v>
      </c>
      <c r="E70" s="204"/>
      <c r="F70" s="78">
        <f t="shared" ref="F70:M70" si="47">$N$69/F13</f>
        <v>0</v>
      </c>
      <c r="G70" s="73">
        <f t="shared" si="47"/>
        <v>0</v>
      </c>
      <c r="H70" s="58">
        <f t="shared" si="47"/>
        <v>0</v>
      </c>
      <c r="I70" s="73">
        <f t="shared" si="47"/>
        <v>0</v>
      </c>
      <c r="J70" s="73">
        <f t="shared" ref="J70:K70" si="48">$N$69/J13</f>
        <v>0</v>
      </c>
      <c r="K70" s="73">
        <f t="shared" si="48"/>
        <v>0</v>
      </c>
      <c r="L70" s="73">
        <f t="shared" si="47"/>
        <v>0</v>
      </c>
      <c r="M70" s="73">
        <f t="shared" si="47"/>
        <v>0</v>
      </c>
      <c r="N70" s="73"/>
      <c r="O70" s="119"/>
      <c r="P70" s="118"/>
      <c r="Q70" s="135">
        <f>I13</f>
        <v>75</v>
      </c>
      <c r="R70" s="136">
        <f>I74</f>
        <v>0</v>
      </c>
      <c r="S70" s="136">
        <f>R70*Q70</f>
        <v>0</v>
      </c>
      <c r="T70" s="32"/>
      <c r="U70" s="32"/>
      <c r="V70" s="32"/>
      <c r="W70" s="32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</row>
    <row r="71" spans="1:34" x14ac:dyDescent="0.3">
      <c r="A71" s="3"/>
      <c r="B71" s="77"/>
      <c r="D71" s="203" t="s">
        <v>119</v>
      </c>
      <c r="E71" s="204"/>
      <c r="F71" s="78">
        <f>F54-F54*$G$3</f>
        <v>0</v>
      </c>
      <c r="G71" s="78">
        <f t="shared" ref="G71:L71" si="49">G54-G54*$G$3</f>
        <v>0</v>
      </c>
      <c r="H71" s="78">
        <f t="shared" si="49"/>
        <v>0</v>
      </c>
      <c r="I71" s="78">
        <f t="shared" si="49"/>
        <v>0</v>
      </c>
      <c r="J71" s="78">
        <f t="shared" ref="J71:K71" si="50">J54-J54*$G$3</f>
        <v>0</v>
      </c>
      <c r="K71" s="78">
        <f t="shared" si="50"/>
        <v>0</v>
      </c>
      <c r="L71" s="78">
        <f t="shared" si="49"/>
        <v>0</v>
      </c>
      <c r="M71" s="78">
        <f>M54-M54*$G$3</f>
        <v>0</v>
      </c>
      <c r="N71" s="73"/>
      <c r="O71" s="32"/>
      <c r="P71" s="118"/>
      <c r="Q71" s="202">
        <f>J13</f>
        <v>100</v>
      </c>
      <c r="R71" s="136">
        <f>J74</f>
        <v>0</v>
      </c>
      <c r="S71" s="136">
        <f t="shared" ref="S71:S72" si="51">R71*Q71</f>
        <v>0</v>
      </c>
      <c r="T71" s="32"/>
      <c r="U71" s="32"/>
      <c r="V71" s="32"/>
      <c r="W71" s="32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</row>
    <row r="72" spans="1:34" ht="15" thickBot="1" x14ac:dyDescent="0.35">
      <c r="A72" s="3"/>
      <c r="D72" s="235" t="s">
        <v>44</v>
      </c>
      <c r="E72" s="236"/>
      <c r="F72" s="185">
        <v>0</v>
      </c>
      <c r="G72" s="185">
        <v>0</v>
      </c>
      <c r="H72" s="186">
        <v>0</v>
      </c>
      <c r="I72" s="186">
        <v>0</v>
      </c>
      <c r="J72" s="186">
        <v>0</v>
      </c>
      <c r="K72" s="186">
        <v>0</v>
      </c>
      <c r="L72" s="186">
        <v>0</v>
      </c>
      <c r="M72" s="186">
        <v>0</v>
      </c>
      <c r="N72" s="182"/>
      <c r="O72" s="32"/>
      <c r="P72" s="32"/>
      <c r="Q72" s="135">
        <f>K13</f>
        <v>250</v>
      </c>
      <c r="R72" s="136">
        <f>K74</f>
        <v>0</v>
      </c>
      <c r="S72" s="136">
        <f t="shared" si="51"/>
        <v>0</v>
      </c>
      <c r="T72" s="32"/>
      <c r="U72" s="32"/>
      <c r="V72" s="32"/>
      <c r="W72" s="32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</row>
    <row r="73" spans="1:34" ht="15" thickBot="1" x14ac:dyDescent="0.35">
      <c r="A73" s="4"/>
      <c r="B73" s="237" t="s">
        <v>116</v>
      </c>
      <c r="C73" s="238"/>
      <c r="D73" s="239"/>
      <c r="E73" s="187">
        <v>0</v>
      </c>
      <c r="F73" s="80">
        <f>F$69*$E$73</f>
        <v>0</v>
      </c>
      <c r="G73" s="80">
        <f t="shared" ref="G73:M73" si="52">G$69*$E$73</f>
        <v>0</v>
      </c>
      <c r="H73" s="80">
        <f t="shared" si="52"/>
        <v>0</v>
      </c>
      <c r="I73" s="80">
        <f t="shared" si="52"/>
        <v>0</v>
      </c>
      <c r="J73" s="80">
        <f t="shared" si="52"/>
        <v>0</v>
      </c>
      <c r="K73" s="80">
        <f t="shared" si="52"/>
        <v>0</v>
      </c>
      <c r="L73" s="80">
        <f t="shared" si="52"/>
        <v>0</v>
      </c>
      <c r="M73" s="80">
        <f t="shared" si="52"/>
        <v>0</v>
      </c>
      <c r="N73" s="79"/>
      <c r="O73" s="32"/>
      <c r="P73" s="32"/>
      <c r="Q73" s="194">
        <f>L13</f>
        <v>500</v>
      </c>
      <c r="R73" s="195">
        <f>L74</f>
        <v>0</v>
      </c>
      <c r="S73" s="195">
        <f>Q73*R73</f>
        <v>0</v>
      </c>
      <c r="T73" s="32"/>
      <c r="U73" s="32"/>
      <c r="V73" s="32"/>
      <c r="W73" s="32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</row>
    <row r="74" spans="1:34" ht="15" thickBot="1" x14ac:dyDescent="0.35">
      <c r="D74" s="231" t="s">
        <v>120</v>
      </c>
      <c r="E74" s="232"/>
      <c r="F74" s="76">
        <f>SUM(F69:F73)</f>
        <v>0</v>
      </c>
      <c r="G74" s="76">
        <f t="shared" ref="G74:M74" si="53">SUM(G69:G73)</f>
        <v>0</v>
      </c>
      <c r="H74" s="76">
        <f t="shared" si="53"/>
        <v>0</v>
      </c>
      <c r="I74" s="76">
        <f t="shared" si="53"/>
        <v>0</v>
      </c>
      <c r="J74" s="76">
        <f t="shared" si="53"/>
        <v>0</v>
      </c>
      <c r="K74" s="76">
        <f t="shared" si="53"/>
        <v>0</v>
      </c>
      <c r="L74" s="76">
        <f t="shared" si="53"/>
        <v>0</v>
      </c>
      <c r="M74" s="76">
        <f t="shared" si="53"/>
        <v>0</v>
      </c>
      <c r="N74" s="74"/>
      <c r="O74" s="32"/>
      <c r="P74" s="32"/>
      <c r="Q74" s="135">
        <f>M13</f>
        <v>1000</v>
      </c>
      <c r="R74" s="136">
        <f>M74</f>
        <v>0</v>
      </c>
      <c r="S74" s="136">
        <f>Q74*R74</f>
        <v>0</v>
      </c>
      <c r="T74" s="32"/>
      <c r="U74" s="32"/>
      <c r="V74" s="32"/>
      <c r="W74" s="32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</row>
    <row r="75" spans="1:34" ht="15" thickBot="1" x14ac:dyDescent="0.35">
      <c r="A75" s="32"/>
      <c r="B75" s="32"/>
      <c r="C75" s="32"/>
      <c r="D75" s="240" t="s">
        <v>118</v>
      </c>
      <c r="E75" s="240"/>
      <c r="F75" s="192" t="e">
        <f>(F74-F54-F70-F71)/(F74-F70)</f>
        <v>#DIV/0!</v>
      </c>
      <c r="G75" s="192" t="e">
        <f t="shared" ref="G75:L75" si="54">(G74-G54-G70-G71)/(G74-G70)</f>
        <v>#DIV/0!</v>
      </c>
      <c r="H75" s="192" t="e">
        <f t="shared" si="54"/>
        <v>#DIV/0!</v>
      </c>
      <c r="I75" s="192" t="e">
        <f t="shared" si="54"/>
        <v>#DIV/0!</v>
      </c>
      <c r="J75" s="192" t="e">
        <f t="shared" ref="J75:K75" si="55">(J74-J54-J70-J71)/(J74-J70)</f>
        <v>#DIV/0!</v>
      </c>
      <c r="K75" s="192" t="e">
        <f t="shared" si="55"/>
        <v>#DIV/0!</v>
      </c>
      <c r="L75" s="192" t="e">
        <f t="shared" si="54"/>
        <v>#DIV/0!</v>
      </c>
      <c r="M75" s="192" t="e">
        <f>(M74-M54-M70-M71)/(M74-M70)</f>
        <v>#DIV/0!</v>
      </c>
      <c r="N75" s="118"/>
      <c r="O75" s="32"/>
      <c r="P75" s="32"/>
      <c r="Q75" s="32"/>
      <c r="R75" s="32"/>
      <c r="S75" s="32"/>
      <c r="T75" s="32"/>
      <c r="U75" s="32"/>
      <c r="V75" s="32"/>
      <c r="W75" s="32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</row>
    <row r="76" spans="1:34" ht="15" thickBot="1" x14ac:dyDescent="0.35">
      <c r="A76" s="32"/>
      <c r="B76" s="32"/>
      <c r="C76" s="32"/>
      <c r="D76" s="240" t="s">
        <v>117</v>
      </c>
      <c r="E76" s="240"/>
      <c r="F76" s="192" t="e">
        <f>F52/F74</f>
        <v>#DIV/0!</v>
      </c>
      <c r="G76" s="192" t="e">
        <f t="shared" ref="G76:M76" si="56">G52/G74</f>
        <v>#DIV/0!</v>
      </c>
      <c r="H76" s="192" t="e">
        <f t="shared" si="56"/>
        <v>#DIV/0!</v>
      </c>
      <c r="I76" s="192" t="e">
        <f t="shared" si="56"/>
        <v>#DIV/0!</v>
      </c>
      <c r="J76" s="192" t="e">
        <f t="shared" ref="J76:K76" si="57">J52/J74</f>
        <v>#DIV/0!</v>
      </c>
      <c r="K76" s="192" t="e">
        <f t="shared" si="57"/>
        <v>#DIV/0!</v>
      </c>
      <c r="L76" s="192" t="e">
        <f t="shared" si="56"/>
        <v>#DIV/0!</v>
      </c>
      <c r="M76" s="192" t="e">
        <f t="shared" si="56"/>
        <v>#DIV/0!</v>
      </c>
      <c r="N76" s="32"/>
      <c r="O76" s="32"/>
      <c r="P76" s="32"/>
      <c r="Q76" s="32"/>
      <c r="R76" s="32"/>
      <c r="S76" s="32"/>
      <c r="T76" s="32"/>
      <c r="U76" s="32"/>
      <c r="V76" s="32"/>
      <c r="W76" s="32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</row>
    <row r="77" spans="1:34" x14ac:dyDescent="0.3">
      <c r="A77" s="32"/>
      <c r="B77" s="32"/>
      <c r="C77" s="32"/>
      <c r="D77" s="32"/>
      <c r="E77" s="32"/>
      <c r="F77" s="118"/>
      <c r="G77" s="118"/>
      <c r="H77" s="118"/>
      <c r="I77" s="118"/>
      <c r="J77" s="118"/>
      <c r="K77" s="118"/>
      <c r="L77" s="118"/>
      <c r="M77" s="118"/>
      <c r="N77" s="32"/>
      <c r="O77" s="32"/>
      <c r="P77" s="32"/>
      <c r="Q77" s="32"/>
      <c r="R77" s="32"/>
      <c r="S77" s="32"/>
      <c r="T77" s="32"/>
      <c r="U77" s="32"/>
      <c r="V77" s="32"/>
      <c r="W77" s="32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</row>
    <row r="78" spans="1:34" x14ac:dyDescent="0.3">
      <c r="A78" s="32"/>
      <c r="B78" s="32"/>
      <c r="C78" s="32"/>
      <c r="D78" s="32"/>
      <c r="E78" s="32"/>
      <c r="F78" s="118"/>
      <c r="G78" s="118"/>
      <c r="H78" s="118"/>
      <c r="I78" s="118"/>
      <c r="J78" s="118"/>
      <c r="K78" s="118"/>
      <c r="L78" s="118"/>
      <c r="M78" s="118"/>
      <c r="N78" s="32"/>
      <c r="O78" s="32"/>
      <c r="P78" s="32"/>
      <c r="Q78" s="32"/>
      <c r="R78" s="32"/>
      <c r="S78" s="32"/>
      <c r="T78" s="32"/>
      <c r="U78" s="32"/>
      <c r="V78" s="32"/>
      <c r="W78" s="32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</row>
    <row r="79" spans="1:34" x14ac:dyDescent="0.3">
      <c r="A79" s="32"/>
      <c r="B79" s="32"/>
      <c r="C79" s="32"/>
      <c r="D79" s="32"/>
      <c r="E79" s="32"/>
      <c r="F79" s="118"/>
      <c r="G79" s="118"/>
      <c r="H79" s="118"/>
      <c r="I79" s="118"/>
      <c r="J79" s="118"/>
      <c r="K79" s="118"/>
      <c r="L79" s="118"/>
      <c r="M79" s="118"/>
      <c r="N79" s="32"/>
      <c r="O79" s="32"/>
      <c r="P79" s="32"/>
      <c r="Q79" s="32"/>
      <c r="R79" s="32"/>
      <c r="S79" s="32"/>
      <c r="T79" s="32"/>
      <c r="U79" s="32"/>
      <c r="V79" s="32"/>
      <c r="W79" s="32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</row>
    <row r="80" spans="1:34" x14ac:dyDescent="0.3">
      <c r="A80" s="32"/>
      <c r="B80" s="32"/>
      <c r="C80" s="32"/>
      <c r="D80" s="32"/>
      <c r="E80" s="32"/>
      <c r="F80" s="32"/>
      <c r="G80" s="32"/>
      <c r="H80" s="32"/>
      <c r="I80" s="32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2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</row>
    <row r="81" spans="1:34" ht="15.75" customHeight="1" x14ac:dyDescent="0.3">
      <c r="A81" s="178" t="s">
        <v>93</v>
      </c>
      <c r="C81" s="32"/>
      <c r="D81" s="32"/>
      <c r="E81" s="32"/>
      <c r="F81" s="32"/>
      <c r="G81" s="32"/>
      <c r="H81" s="32"/>
      <c r="I81" s="32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2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</row>
    <row r="82" spans="1:34" hidden="1" x14ac:dyDescent="0.3">
      <c r="C82" s="32"/>
      <c r="D82" s="32"/>
      <c r="E82" s="32"/>
      <c r="F82" s="32"/>
      <c r="G82" s="32"/>
      <c r="H82" s="32"/>
      <c r="I82" s="32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2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</row>
    <row r="83" spans="1:34" ht="14.25" customHeight="1" x14ac:dyDescent="0.3">
      <c r="A83" t="s">
        <v>92</v>
      </c>
      <c r="B83" s="179">
        <f>Year-2019</f>
        <v>7</v>
      </c>
      <c r="C83" s="36"/>
      <c r="D83" s="36"/>
      <c r="E83" s="36"/>
      <c r="F83" s="36"/>
      <c r="G83" s="36"/>
      <c r="H83" s="36"/>
      <c r="I83" s="36"/>
      <c r="J83" s="36"/>
      <c r="K83" s="36"/>
      <c r="L83" s="36"/>
      <c r="M83" s="36"/>
      <c r="N83" s="36"/>
      <c r="O83" s="32"/>
      <c r="P83" s="32"/>
      <c r="Q83" s="32"/>
      <c r="R83" s="32"/>
      <c r="S83" s="32"/>
      <c r="T83" s="32"/>
      <c r="U83" s="32"/>
      <c r="V83" s="32"/>
      <c r="W83" s="32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</row>
    <row r="84" spans="1:34" x14ac:dyDescent="0.3">
      <c r="A84" s="101"/>
      <c r="B84" s="180" t="s">
        <v>121</v>
      </c>
      <c r="C84" s="173"/>
      <c r="D84" s="36"/>
      <c r="E84" s="36"/>
      <c r="F84" s="36"/>
      <c r="G84" s="36"/>
      <c r="H84" s="36"/>
      <c r="I84" s="36"/>
      <c r="J84" s="36"/>
      <c r="K84" s="36"/>
      <c r="L84" s="36"/>
      <c r="M84" s="36"/>
      <c r="N84" s="36"/>
      <c r="O84" s="32"/>
      <c r="P84" s="32"/>
      <c r="Q84" s="32"/>
      <c r="R84" s="32"/>
      <c r="S84" s="32"/>
      <c r="T84" s="32"/>
      <c r="U84" s="32"/>
      <c r="V84" s="32"/>
      <c r="W84" s="32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</row>
    <row r="85" spans="1:34" x14ac:dyDescent="0.3">
      <c r="A85" s="101"/>
      <c r="B85" s="159">
        <v>2024</v>
      </c>
      <c r="C85" s="143"/>
      <c r="D85" s="55"/>
      <c r="E85" s="130"/>
      <c r="F85" s="143"/>
      <c r="G85" s="36"/>
      <c r="H85" s="36"/>
      <c r="I85" s="36"/>
      <c r="J85" s="36"/>
      <c r="K85" s="36"/>
      <c r="L85" s="36"/>
      <c r="M85" s="36"/>
      <c r="N85" s="36"/>
      <c r="O85" s="32"/>
      <c r="P85" s="32"/>
      <c r="Q85" s="32"/>
      <c r="R85" s="32"/>
      <c r="S85" s="32"/>
      <c r="T85" s="32"/>
      <c r="U85" s="32"/>
      <c r="V85" s="32"/>
      <c r="W85" s="32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</row>
    <row r="86" spans="1:34" x14ac:dyDescent="0.3">
      <c r="A86" s="101"/>
      <c r="B86" s="159">
        <v>2025</v>
      </c>
      <c r="C86" s="143"/>
      <c r="D86" s="55"/>
      <c r="E86" s="130"/>
      <c r="F86" s="143"/>
      <c r="G86" s="36"/>
      <c r="H86" s="36"/>
      <c r="I86" s="36"/>
      <c r="J86" s="36"/>
      <c r="K86" s="36"/>
      <c r="L86" s="36"/>
      <c r="M86" s="36"/>
      <c r="N86" s="36"/>
      <c r="O86" s="32"/>
      <c r="P86" s="32"/>
      <c r="Q86" s="32"/>
      <c r="R86" s="32"/>
      <c r="S86" s="32"/>
      <c r="T86" s="32"/>
      <c r="U86" s="32"/>
      <c r="V86" s="32"/>
      <c r="W86" s="32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</row>
    <row r="87" spans="1:34" x14ac:dyDescent="0.3">
      <c r="A87" s="101"/>
      <c r="B87" s="159">
        <v>2026</v>
      </c>
      <c r="C87" s="143"/>
      <c r="D87" s="55"/>
      <c r="E87" s="130"/>
      <c r="F87" s="143"/>
      <c r="G87" s="36"/>
      <c r="H87" s="36"/>
      <c r="I87" s="36"/>
      <c r="J87" s="36"/>
      <c r="K87" s="36"/>
      <c r="L87" s="36"/>
      <c r="M87" s="36"/>
      <c r="N87" s="36"/>
      <c r="O87" s="32"/>
      <c r="P87" s="32"/>
      <c r="Q87" s="32"/>
      <c r="R87" s="32"/>
      <c r="S87" s="32"/>
      <c r="T87" s="32"/>
      <c r="U87" s="32"/>
      <c r="V87" s="32"/>
      <c r="W87" s="32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</row>
    <row r="88" spans="1:34" x14ac:dyDescent="0.3">
      <c r="A88" s="101"/>
      <c r="B88" s="159">
        <v>2027</v>
      </c>
      <c r="C88" s="143"/>
      <c r="D88" s="36"/>
      <c r="E88" s="36"/>
      <c r="F88" s="36"/>
      <c r="G88" s="36"/>
      <c r="H88" s="36"/>
      <c r="I88" s="36"/>
      <c r="J88" s="36"/>
      <c r="K88" s="36"/>
      <c r="L88" s="36"/>
      <c r="M88" s="36"/>
      <c r="N88" s="36"/>
      <c r="O88" s="32"/>
      <c r="P88" s="32"/>
      <c r="Q88" s="32"/>
      <c r="R88" s="32"/>
      <c r="S88" s="32"/>
      <c r="T88" s="32"/>
      <c r="U88" s="32"/>
      <c r="V88" s="32"/>
      <c r="W88" s="32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</row>
    <row r="89" spans="1:34" x14ac:dyDescent="0.3">
      <c r="A89" s="101"/>
      <c r="B89" s="181">
        <v>2028</v>
      </c>
      <c r="C89" s="143"/>
      <c r="D89" s="36"/>
      <c r="E89" s="36"/>
      <c r="F89" s="36"/>
      <c r="G89" s="36"/>
      <c r="H89" s="36"/>
      <c r="I89" s="36"/>
      <c r="J89" s="36"/>
      <c r="K89" s="36"/>
      <c r="L89" s="36"/>
      <c r="M89" s="36"/>
      <c r="N89" s="36"/>
      <c r="O89" s="32"/>
      <c r="P89" s="32"/>
      <c r="Q89" s="32"/>
      <c r="R89" s="32"/>
      <c r="S89" s="32"/>
      <c r="T89" s="32"/>
      <c r="U89" s="32"/>
      <c r="V89" s="32"/>
      <c r="W89" s="32"/>
      <c r="X89" s="32"/>
      <c r="Y89" s="32"/>
      <c r="Z89" s="32"/>
      <c r="AA89" s="32"/>
      <c r="AB89" s="32"/>
      <c r="AC89" s="32"/>
      <c r="AD89" s="32"/>
      <c r="AE89" s="32"/>
      <c r="AF89" s="32"/>
      <c r="AG89" s="32"/>
      <c r="AH89" s="32"/>
    </row>
    <row r="90" spans="1:34" x14ac:dyDescent="0.3">
      <c r="A90" s="160"/>
      <c r="B90" s="159">
        <v>2029</v>
      </c>
      <c r="C90" s="143"/>
      <c r="D90" s="36"/>
      <c r="E90" s="36"/>
      <c r="F90" s="36"/>
      <c r="G90" s="36"/>
      <c r="H90" s="36"/>
      <c r="I90" s="36"/>
      <c r="J90" s="36"/>
      <c r="K90" s="36"/>
      <c r="L90" s="36"/>
      <c r="M90" s="36"/>
      <c r="N90" s="36"/>
      <c r="O90" s="32"/>
      <c r="P90" s="32"/>
      <c r="Q90" s="32"/>
      <c r="R90" s="32"/>
      <c r="S90" s="32"/>
      <c r="T90" s="32"/>
      <c r="U90" s="32"/>
      <c r="V90" s="32"/>
      <c r="W90" s="32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</row>
    <row r="91" spans="1:34" x14ac:dyDescent="0.3">
      <c r="A91" s="161"/>
      <c r="B91" s="181">
        <v>2030</v>
      </c>
      <c r="C91" s="36"/>
      <c r="D91" s="36"/>
      <c r="E91" s="36"/>
      <c r="F91" s="36"/>
      <c r="G91" s="36"/>
      <c r="H91" s="36"/>
      <c r="I91" s="36"/>
      <c r="J91" s="36"/>
      <c r="K91" s="36"/>
      <c r="L91" s="36"/>
      <c r="M91" s="36"/>
      <c r="N91" s="36"/>
      <c r="O91" s="32"/>
      <c r="P91" s="32"/>
      <c r="Q91" s="32"/>
      <c r="R91" s="32"/>
      <c r="S91" s="32"/>
      <c r="T91" s="32"/>
      <c r="U91" s="32"/>
      <c r="V91" s="32"/>
      <c r="W91" s="32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</row>
    <row r="92" spans="1:34" x14ac:dyDescent="0.3">
      <c r="A92" s="161"/>
      <c r="B92" s="181">
        <v>2031</v>
      </c>
      <c r="C92" s="36"/>
      <c r="D92" s="36"/>
      <c r="E92" s="36"/>
      <c r="F92" s="36"/>
      <c r="G92" s="36"/>
      <c r="H92" s="36"/>
      <c r="I92" s="36"/>
      <c r="J92" s="36"/>
      <c r="K92" s="36"/>
      <c r="L92" s="36"/>
      <c r="M92" s="36"/>
      <c r="N92" s="36"/>
      <c r="O92" s="32"/>
      <c r="P92" s="32"/>
      <c r="Q92" s="32"/>
      <c r="R92" s="32"/>
      <c r="S92" s="32"/>
      <c r="T92" s="32"/>
      <c r="U92" s="32"/>
      <c r="V92" s="32"/>
      <c r="W92" s="32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</row>
    <row r="93" spans="1:34" x14ac:dyDescent="0.3">
      <c r="A93" s="55"/>
      <c r="B93" s="159">
        <v>2032</v>
      </c>
      <c r="C93" s="36"/>
      <c r="D93" s="36"/>
      <c r="E93" s="36"/>
      <c r="F93" s="55"/>
      <c r="G93" s="36"/>
      <c r="H93" s="36"/>
      <c r="I93" s="36"/>
      <c r="J93" s="36"/>
      <c r="K93" s="36"/>
      <c r="L93" s="36"/>
      <c r="M93" s="36"/>
      <c r="N93" s="36"/>
      <c r="O93" s="32"/>
      <c r="P93" s="32"/>
      <c r="Q93" s="32"/>
      <c r="R93" s="32"/>
      <c r="S93" s="32"/>
      <c r="T93" s="32"/>
      <c r="U93" s="32"/>
      <c r="V93" s="32"/>
      <c r="W93" s="32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</row>
    <row r="94" spans="1:34" x14ac:dyDescent="0.3">
      <c r="A94" s="36"/>
      <c r="B94" s="181">
        <v>2033</v>
      </c>
      <c r="C94" s="36"/>
      <c r="D94" s="36"/>
      <c r="E94" s="36"/>
      <c r="F94" s="104"/>
      <c r="G94" s="46"/>
      <c r="H94" s="46"/>
      <c r="I94" s="46"/>
      <c r="J94" s="46"/>
      <c r="K94" s="46"/>
      <c r="L94" s="46"/>
      <c r="M94" s="46"/>
      <c r="N94" s="46"/>
      <c r="O94" s="32"/>
      <c r="P94" s="32"/>
      <c r="Q94" s="32"/>
      <c r="R94" s="32"/>
      <c r="S94" s="32"/>
      <c r="T94" s="32"/>
      <c r="U94" s="32"/>
      <c r="V94" s="32"/>
      <c r="W94" s="32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</row>
    <row r="95" spans="1:34" x14ac:dyDescent="0.3">
      <c r="A95" s="36"/>
      <c r="B95" s="181">
        <v>2034</v>
      </c>
      <c r="C95" s="162"/>
      <c r="D95" s="162"/>
      <c r="E95" s="162"/>
      <c r="F95" s="36"/>
      <c r="G95" s="36"/>
      <c r="H95" s="36"/>
      <c r="I95" s="36"/>
      <c r="J95" s="36"/>
      <c r="K95" s="36"/>
      <c r="L95" s="36"/>
      <c r="M95" s="36"/>
      <c r="N95" s="36"/>
      <c r="O95" s="32"/>
      <c r="P95" s="32"/>
      <c r="Q95" s="32"/>
      <c r="R95" s="32"/>
      <c r="S95" s="32"/>
      <c r="T95" s="32"/>
      <c r="U95" s="32"/>
      <c r="V95" s="32"/>
      <c r="W95" s="32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</row>
    <row r="96" spans="1:34" x14ac:dyDescent="0.3">
      <c r="A96" s="36"/>
      <c r="B96" s="159">
        <v>2035</v>
      </c>
      <c r="C96" s="36"/>
      <c r="D96" s="36"/>
      <c r="E96" s="107"/>
      <c r="F96" s="107"/>
      <c r="G96" s="107"/>
      <c r="H96" s="107"/>
      <c r="I96" s="107"/>
      <c r="J96" s="107"/>
      <c r="K96" s="107"/>
      <c r="L96" s="107"/>
      <c r="M96" s="107"/>
      <c r="N96" s="107"/>
      <c r="O96" s="32"/>
      <c r="P96" s="32"/>
      <c r="Q96" s="32"/>
      <c r="R96" s="32"/>
      <c r="S96" s="32"/>
      <c r="T96" s="32"/>
      <c r="U96" s="32"/>
      <c r="V96" s="32"/>
      <c r="W96" s="32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</row>
    <row r="97" spans="1:34" x14ac:dyDescent="0.3">
      <c r="A97" s="36"/>
      <c r="B97" s="181">
        <v>2036</v>
      </c>
      <c r="C97" s="36"/>
      <c r="D97" s="36"/>
      <c r="E97" s="107"/>
      <c r="F97" s="107"/>
      <c r="G97" s="107"/>
      <c r="H97" s="107"/>
      <c r="I97" s="107"/>
      <c r="J97" s="107"/>
      <c r="K97" s="107"/>
      <c r="L97" s="107"/>
      <c r="M97" s="107"/>
      <c r="N97" s="107"/>
      <c r="O97" s="32"/>
      <c r="P97" s="32"/>
      <c r="Q97" s="32"/>
      <c r="R97" s="32"/>
      <c r="S97" s="32"/>
      <c r="T97" s="32"/>
      <c r="U97" s="32"/>
      <c r="V97" s="32"/>
      <c r="W97" s="32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</row>
    <row r="98" spans="1:34" x14ac:dyDescent="0.3">
      <c r="A98" s="36"/>
      <c r="B98" s="181">
        <v>2037</v>
      </c>
      <c r="C98" s="36"/>
      <c r="D98" s="36"/>
      <c r="E98" s="107"/>
      <c r="F98" s="107"/>
      <c r="G98" s="107"/>
      <c r="H98" s="107"/>
      <c r="I98" s="107"/>
      <c r="J98" s="107"/>
      <c r="K98" s="107"/>
      <c r="L98" s="107"/>
      <c r="M98" s="107"/>
      <c r="N98" s="107"/>
      <c r="O98" s="32"/>
      <c r="P98" s="32"/>
      <c r="Q98" s="32"/>
      <c r="R98" s="32"/>
      <c r="S98" s="32"/>
      <c r="T98" s="32"/>
      <c r="U98" s="32"/>
      <c r="V98" s="32"/>
      <c r="W98" s="32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</row>
    <row r="99" spans="1:34" x14ac:dyDescent="0.3">
      <c r="A99" s="36"/>
      <c r="B99" s="36"/>
      <c r="C99" s="36"/>
      <c r="D99" s="36"/>
      <c r="E99" s="107"/>
      <c r="F99" s="107"/>
      <c r="G99" s="107"/>
      <c r="H99" s="107"/>
      <c r="I99" s="107"/>
      <c r="J99" s="107"/>
      <c r="K99" s="107"/>
      <c r="L99" s="107"/>
      <c r="M99" s="107"/>
      <c r="N99" s="107"/>
      <c r="O99" s="32"/>
      <c r="P99" s="32"/>
      <c r="Q99" s="32"/>
      <c r="R99" s="32"/>
      <c r="S99" s="32"/>
      <c r="T99" s="32"/>
      <c r="U99" s="32"/>
      <c r="V99" s="32"/>
      <c r="W99" s="32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</row>
    <row r="100" spans="1:34" x14ac:dyDescent="0.3">
      <c r="A100" s="36"/>
      <c r="B100" s="36"/>
      <c r="C100" s="36"/>
      <c r="D100" s="36"/>
      <c r="E100" s="107"/>
      <c r="F100" s="107"/>
      <c r="G100" s="107"/>
      <c r="H100" s="107"/>
      <c r="I100" s="107"/>
      <c r="J100" s="107"/>
      <c r="K100" s="107"/>
      <c r="L100" s="107"/>
      <c r="M100" s="107"/>
      <c r="N100" s="107"/>
      <c r="O100" s="32"/>
      <c r="P100" s="32"/>
      <c r="Q100" s="32"/>
      <c r="R100" s="32"/>
      <c r="S100" s="32"/>
      <c r="T100" s="32"/>
      <c r="U100" s="32"/>
      <c r="V100" s="32"/>
      <c r="W100" s="32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</row>
    <row r="101" spans="1:34" x14ac:dyDescent="0.3">
      <c r="A101" s="36"/>
      <c r="B101" s="36"/>
      <c r="C101" s="36"/>
      <c r="D101" s="36"/>
      <c r="E101" s="107"/>
      <c r="F101" s="107"/>
      <c r="G101" s="107"/>
      <c r="H101" s="107"/>
      <c r="I101" s="107"/>
      <c r="J101" s="107"/>
      <c r="K101" s="107"/>
      <c r="L101" s="107"/>
      <c r="M101" s="107"/>
      <c r="N101" s="107"/>
      <c r="O101" s="32"/>
      <c r="P101" s="32"/>
      <c r="Q101" s="32"/>
      <c r="R101" s="32"/>
      <c r="S101" s="32"/>
      <c r="T101" s="32"/>
      <c r="U101" s="32"/>
      <c r="V101" s="32"/>
      <c r="W101" s="32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</row>
    <row r="102" spans="1:34" x14ac:dyDescent="0.3">
      <c r="A102" s="36"/>
      <c r="B102" s="36"/>
      <c r="C102" s="36"/>
      <c r="D102" s="36"/>
      <c r="E102" s="107"/>
      <c r="F102" s="107"/>
      <c r="G102" s="107"/>
      <c r="H102" s="107"/>
      <c r="I102" s="107"/>
      <c r="J102" s="107"/>
      <c r="K102" s="107"/>
      <c r="L102" s="107"/>
      <c r="M102" s="107"/>
      <c r="N102" s="107"/>
      <c r="O102" s="32"/>
      <c r="P102" s="32"/>
      <c r="Q102" s="32"/>
      <c r="R102" s="32"/>
      <c r="S102" s="32"/>
      <c r="T102" s="32"/>
      <c r="U102" s="32"/>
      <c r="V102" s="32"/>
      <c r="W102" s="32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</row>
    <row r="103" spans="1:34" x14ac:dyDescent="0.3">
      <c r="A103" s="36"/>
      <c r="B103" s="36"/>
      <c r="C103" s="36"/>
      <c r="D103" s="36"/>
      <c r="E103" s="107"/>
      <c r="F103" s="107"/>
      <c r="G103" s="107"/>
      <c r="H103" s="107"/>
      <c r="I103" s="107"/>
      <c r="J103" s="107"/>
      <c r="K103" s="107"/>
      <c r="L103" s="107"/>
      <c r="M103" s="107"/>
      <c r="N103" s="107"/>
      <c r="O103" s="32"/>
      <c r="P103" s="32"/>
      <c r="Q103" s="32"/>
      <c r="R103" s="32"/>
      <c r="S103" s="32"/>
      <c r="T103" s="32"/>
      <c r="U103" s="32"/>
      <c r="V103" s="32"/>
      <c r="W103" s="32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</row>
    <row r="104" spans="1:34" x14ac:dyDescent="0.3">
      <c r="A104" s="36"/>
      <c r="B104" s="36"/>
      <c r="C104" s="36"/>
      <c r="D104" s="36"/>
      <c r="E104" s="107"/>
      <c r="F104" s="107"/>
      <c r="G104" s="107"/>
      <c r="H104" s="107"/>
      <c r="I104" s="107"/>
      <c r="J104" s="107"/>
      <c r="K104" s="107"/>
      <c r="L104" s="107"/>
      <c r="M104" s="107"/>
      <c r="N104" s="107"/>
      <c r="O104" s="32"/>
      <c r="P104" s="32"/>
      <c r="Q104" s="32"/>
      <c r="R104" s="32"/>
      <c r="S104" s="32"/>
      <c r="T104" s="32"/>
      <c r="U104" s="32"/>
      <c r="V104" s="32"/>
      <c r="W104" s="32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</row>
    <row r="105" spans="1:34" x14ac:dyDescent="0.3">
      <c r="A105" s="36"/>
      <c r="B105" s="36"/>
      <c r="C105" s="36"/>
      <c r="D105" s="36"/>
      <c r="E105" s="107"/>
      <c r="F105" s="107"/>
      <c r="G105" s="107"/>
      <c r="H105" s="107"/>
      <c r="I105" s="107"/>
      <c r="J105" s="107"/>
      <c r="K105" s="107"/>
      <c r="L105" s="107"/>
      <c r="M105" s="107"/>
      <c r="N105" s="107"/>
      <c r="O105" s="32"/>
      <c r="P105" s="32"/>
      <c r="Q105" s="32"/>
      <c r="R105" s="32"/>
      <c r="S105" s="32"/>
      <c r="T105" s="32"/>
      <c r="U105" s="32"/>
      <c r="V105" s="32"/>
      <c r="W105" s="32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</row>
    <row r="106" spans="1:34" x14ac:dyDescent="0.3">
      <c r="A106" s="36"/>
      <c r="B106" s="36"/>
      <c r="C106" s="36"/>
      <c r="D106" s="36"/>
      <c r="E106" s="107"/>
      <c r="F106" s="107"/>
      <c r="G106" s="107"/>
      <c r="H106" s="107"/>
      <c r="I106" s="107"/>
      <c r="J106" s="107"/>
      <c r="K106" s="107"/>
      <c r="L106" s="107"/>
      <c r="M106" s="107"/>
      <c r="N106" s="107"/>
      <c r="O106" s="32"/>
      <c r="P106" s="32"/>
      <c r="Q106" s="32"/>
      <c r="R106" s="32"/>
      <c r="S106" s="32"/>
      <c r="T106" s="32"/>
      <c r="U106" s="32"/>
      <c r="V106" s="32"/>
      <c r="W106" s="32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</row>
    <row r="107" spans="1:34" x14ac:dyDescent="0.3">
      <c r="A107" s="36"/>
      <c r="B107" s="36"/>
      <c r="C107" s="36"/>
      <c r="D107" s="36"/>
      <c r="E107" s="160"/>
      <c r="F107" s="163"/>
      <c r="G107" s="163"/>
      <c r="H107" s="163"/>
      <c r="I107" s="163"/>
      <c r="J107" s="163"/>
      <c r="K107" s="163"/>
      <c r="L107" s="163"/>
      <c r="M107" s="163"/>
      <c r="N107" s="163"/>
      <c r="O107" s="32"/>
      <c r="P107" s="32"/>
      <c r="Q107" s="32"/>
      <c r="R107" s="32"/>
      <c r="S107" s="32"/>
      <c r="T107" s="32"/>
      <c r="U107" s="32"/>
      <c r="V107" s="32"/>
      <c r="W107" s="32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</row>
    <row r="108" spans="1:34" x14ac:dyDescent="0.3">
      <c r="A108" s="36"/>
      <c r="B108" s="36"/>
      <c r="C108" s="36"/>
      <c r="D108" s="36"/>
      <c r="E108" s="36"/>
      <c r="F108" s="36"/>
      <c r="G108" s="36"/>
      <c r="H108" s="36"/>
      <c r="I108" s="36"/>
      <c r="J108" s="36"/>
      <c r="K108" s="36"/>
      <c r="L108" s="36"/>
      <c r="M108" s="36"/>
      <c r="N108" s="36"/>
      <c r="O108" s="32"/>
      <c r="P108" s="32"/>
      <c r="Q108" s="32"/>
      <c r="R108" s="32"/>
      <c r="S108" s="32"/>
      <c r="T108" s="32"/>
      <c r="U108" s="32"/>
      <c r="V108" s="32"/>
      <c r="W108" s="32"/>
      <c r="X108" s="32"/>
      <c r="Y108" s="32"/>
      <c r="Z108" s="32"/>
      <c r="AA108" s="32"/>
      <c r="AB108" s="32"/>
      <c r="AC108" s="32"/>
      <c r="AD108" s="32"/>
      <c r="AE108" s="32"/>
      <c r="AF108" s="32"/>
      <c r="AG108" s="32"/>
      <c r="AH108" s="32"/>
    </row>
    <row r="109" spans="1:34" x14ac:dyDescent="0.3">
      <c r="A109" s="32"/>
      <c r="B109" s="164"/>
      <c r="C109" s="164"/>
      <c r="D109" s="164"/>
      <c r="E109" s="164"/>
      <c r="F109" s="32"/>
      <c r="G109" s="32"/>
      <c r="H109" s="32"/>
      <c r="I109" s="32"/>
      <c r="J109" s="32"/>
      <c r="K109" s="32"/>
      <c r="L109" s="32"/>
      <c r="M109" s="32"/>
      <c r="N109" s="32"/>
      <c r="O109" s="32"/>
      <c r="P109" s="32"/>
      <c r="Q109" s="32"/>
      <c r="R109" s="32"/>
      <c r="S109" s="32"/>
      <c r="T109" s="32"/>
      <c r="U109" s="32"/>
      <c r="V109" s="32"/>
      <c r="W109" s="32"/>
      <c r="X109" s="32"/>
      <c r="Y109" s="32"/>
      <c r="Z109" s="32"/>
      <c r="AA109" s="32"/>
      <c r="AB109" s="32"/>
      <c r="AC109" s="32"/>
      <c r="AD109" s="32"/>
      <c r="AE109" s="32"/>
      <c r="AF109" s="32"/>
      <c r="AG109" s="32"/>
      <c r="AH109" s="32"/>
    </row>
    <row r="110" spans="1:34" x14ac:dyDescent="0.3">
      <c r="A110" s="32"/>
      <c r="B110" s="32"/>
      <c r="C110" s="32"/>
      <c r="D110" s="32"/>
      <c r="E110" s="32"/>
      <c r="F110" s="107"/>
      <c r="G110" s="107"/>
      <c r="H110" s="107"/>
      <c r="I110" s="107"/>
      <c r="J110" s="107"/>
      <c r="K110" s="107"/>
      <c r="L110" s="107"/>
      <c r="M110" s="107"/>
      <c r="N110" s="107"/>
      <c r="O110" s="32"/>
      <c r="P110" s="32"/>
      <c r="Q110" s="32"/>
      <c r="R110" s="32"/>
      <c r="S110" s="32"/>
      <c r="T110" s="32"/>
      <c r="U110" s="32"/>
      <c r="V110" s="32"/>
      <c r="W110" s="32"/>
      <c r="X110" s="32"/>
      <c r="Y110" s="32"/>
      <c r="Z110" s="32"/>
      <c r="AA110" s="32"/>
      <c r="AB110" s="32"/>
      <c r="AC110" s="32"/>
      <c r="AD110" s="32"/>
      <c r="AE110" s="32"/>
      <c r="AF110" s="32"/>
      <c r="AG110" s="32"/>
      <c r="AH110" s="32"/>
    </row>
    <row r="111" spans="1:34" x14ac:dyDescent="0.3">
      <c r="A111" s="32"/>
      <c r="B111" s="32"/>
      <c r="C111" s="32"/>
      <c r="D111" s="32"/>
      <c r="E111" s="32"/>
      <c r="F111" s="107"/>
      <c r="G111" s="107"/>
      <c r="H111" s="107"/>
      <c r="I111" s="107"/>
      <c r="J111" s="107"/>
      <c r="K111" s="107"/>
      <c r="L111" s="107"/>
      <c r="M111" s="107"/>
      <c r="N111" s="107"/>
      <c r="O111" s="32"/>
      <c r="P111" s="32"/>
      <c r="Q111" s="32"/>
      <c r="R111" s="32"/>
      <c r="S111" s="32"/>
      <c r="T111" s="32"/>
      <c r="U111" s="32"/>
      <c r="V111" s="32"/>
      <c r="W111" s="32"/>
      <c r="X111" s="32"/>
      <c r="Y111" s="32"/>
      <c r="Z111" s="32"/>
      <c r="AA111" s="32"/>
      <c r="AB111" s="32"/>
      <c r="AC111" s="32"/>
      <c r="AD111" s="32"/>
      <c r="AE111" s="32"/>
      <c r="AF111" s="32"/>
      <c r="AG111" s="32"/>
      <c r="AH111" s="32"/>
    </row>
    <row r="112" spans="1:34" x14ac:dyDescent="0.3">
      <c r="A112" s="32"/>
      <c r="B112" s="32"/>
      <c r="C112" s="32"/>
      <c r="D112" s="32"/>
      <c r="E112" s="32"/>
      <c r="F112" s="107"/>
      <c r="G112" s="107"/>
      <c r="H112" s="107"/>
      <c r="I112" s="107"/>
      <c r="J112" s="107"/>
      <c r="K112" s="107"/>
      <c r="L112" s="107"/>
      <c r="M112" s="107"/>
      <c r="N112" s="107"/>
      <c r="O112" s="32"/>
      <c r="P112" s="32"/>
      <c r="Q112" s="32"/>
      <c r="R112" s="32"/>
      <c r="S112" s="32"/>
      <c r="T112" s="32"/>
      <c r="U112" s="32"/>
      <c r="V112" s="32"/>
      <c r="W112" s="32"/>
      <c r="X112" s="32"/>
      <c r="Y112" s="32"/>
      <c r="Z112" s="32"/>
      <c r="AA112" s="32"/>
      <c r="AB112" s="32"/>
      <c r="AC112" s="32"/>
      <c r="AD112" s="32"/>
      <c r="AE112" s="32"/>
      <c r="AF112" s="32"/>
      <c r="AG112" s="32"/>
      <c r="AH112" s="32"/>
    </row>
    <row r="113" spans="1:34" x14ac:dyDescent="0.3">
      <c r="A113" s="32"/>
      <c r="B113" s="32"/>
      <c r="C113" s="32"/>
      <c r="D113" s="32"/>
      <c r="E113" s="32"/>
      <c r="F113" s="107"/>
      <c r="G113" s="107"/>
      <c r="H113" s="107"/>
      <c r="I113" s="107"/>
      <c r="J113" s="107"/>
      <c r="K113" s="107"/>
      <c r="L113" s="107"/>
      <c r="M113" s="107"/>
      <c r="N113" s="107"/>
      <c r="O113" s="32"/>
      <c r="P113" s="32"/>
      <c r="Q113" s="32"/>
      <c r="R113" s="32"/>
      <c r="S113" s="32"/>
      <c r="T113" s="32"/>
      <c r="U113" s="32"/>
      <c r="V113" s="32"/>
      <c r="W113" s="32"/>
      <c r="X113" s="32"/>
      <c r="Y113" s="32"/>
      <c r="Z113" s="32"/>
      <c r="AA113" s="32"/>
      <c r="AB113" s="32"/>
      <c r="AC113" s="32"/>
      <c r="AD113" s="32"/>
      <c r="AE113" s="32"/>
      <c r="AF113" s="32"/>
      <c r="AG113" s="32"/>
      <c r="AH113" s="32"/>
    </row>
    <row r="114" spans="1:34" x14ac:dyDescent="0.3">
      <c r="A114" s="32"/>
      <c r="B114" s="32"/>
      <c r="C114" s="32"/>
      <c r="D114" s="32"/>
      <c r="E114" s="32"/>
      <c r="F114" s="107"/>
      <c r="G114" s="107"/>
      <c r="H114" s="107"/>
      <c r="I114" s="107"/>
      <c r="J114" s="107"/>
      <c r="K114" s="107"/>
      <c r="L114" s="107"/>
      <c r="M114" s="107"/>
      <c r="N114" s="107"/>
      <c r="O114" s="32"/>
      <c r="P114" s="32"/>
      <c r="Q114" s="32"/>
      <c r="R114" s="32"/>
      <c r="S114" s="32"/>
      <c r="T114" s="32"/>
      <c r="U114" s="32"/>
      <c r="V114" s="32"/>
      <c r="W114" s="32"/>
      <c r="X114" s="32"/>
      <c r="Y114" s="32"/>
      <c r="Z114" s="32"/>
      <c r="AA114" s="32"/>
      <c r="AB114" s="32"/>
      <c r="AC114" s="32"/>
      <c r="AD114" s="32"/>
      <c r="AE114" s="32"/>
      <c r="AF114" s="32"/>
      <c r="AG114" s="32"/>
      <c r="AH114" s="32"/>
    </row>
    <row r="115" spans="1:34" x14ac:dyDescent="0.3">
      <c r="A115" s="32"/>
      <c r="B115" s="32"/>
      <c r="C115" s="32"/>
      <c r="D115" s="32"/>
      <c r="E115" s="32"/>
      <c r="F115" s="107"/>
      <c r="G115" s="107"/>
      <c r="H115" s="107"/>
      <c r="I115" s="107"/>
      <c r="J115" s="107"/>
      <c r="K115" s="107"/>
      <c r="L115" s="107"/>
      <c r="M115" s="107"/>
      <c r="N115" s="107"/>
      <c r="O115" s="32"/>
      <c r="P115" s="32"/>
      <c r="Q115" s="32"/>
      <c r="R115" s="32"/>
      <c r="S115" s="32"/>
      <c r="T115" s="32"/>
      <c r="U115" s="32"/>
      <c r="V115" s="32"/>
      <c r="W115" s="32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</row>
    <row r="116" spans="1:34" x14ac:dyDescent="0.3">
      <c r="A116" s="32"/>
      <c r="B116" s="32"/>
      <c r="C116" s="32"/>
      <c r="D116" s="32"/>
      <c r="E116" s="32"/>
      <c r="F116" s="107"/>
      <c r="G116" s="107"/>
      <c r="H116" s="107"/>
      <c r="I116" s="107"/>
      <c r="J116" s="107"/>
      <c r="K116" s="107"/>
      <c r="L116" s="107"/>
      <c r="M116" s="107"/>
      <c r="N116" s="107"/>
      <c r="O116" s="32"/>
      <c r="P116" s="32"/>
      <c r="Q116" s="32"/>
      <c r="R116" s="32"/>
      <c r="S116" s="32"/>
      <c r="T116" s="32"/>
      <c r="U116" s="32"/>
      <c r="V116" s="32"/>
      <c r="W116" s="32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</row>
    <row r="117" spans="1:34" x14ac:dyDescent="0.3">
      <c r="A117" s="32"/>
      <c r="B117" s="32"/>
      <c r="C117" s="32"/>
      <c r="D117" s="32"/>
      <c r="E117" s="32"/>
      <c r="F117" s="107"/>
      <c r="G117" s="107"/>
      <c r="H117" s="107"/>
      <c r="I117" s="107"/>
      <c r="J117" s="107"/>
      <c r="K117" s="107"/>
      <c r="L117" s="107"/>
      <c r="M117" s="107"/>
      <c r="N117" s="107"/>
      <c r="O117" s="32"/>
      <c r="P117" s="32"/>
      <c r="Q117" s="32"/>
      <c r="R117" s="32"/>
      <c r="S117" s="32"/>
      <c r="T117" s="32"/>
      <c r="U117" s="32"/>
      <c r="V117" s="32"/>
      <c r="W117" s="32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</row>
    <row r="118" spans="1:34" x14ac:dyDescent="0.3">
      <c r="A118" s="32"/>
      <c r="B118" s="32"/>
      <c r="C118" s="32"/>
      <c r="D118" s="32"/>
      <c r="E118" s="32"/>
      <c r="F118" s="107"/>
      <c r="G118" s="107"/>
      <c r="H118" s="107"/>
      <c r="I118" s="107"/>
      <c r="J118" s="107"/>
      <c r="K118" s="107"/>
      <c r="L118" s="107"/>
      <c r="M118" s="107"/>
      <c r="N118" s="107"/>
      <c r="O118" s="32"/>
      <c r="P118" s="32"/>
      <c r="Q118" s="32"/>
      <c r="R118" s="32"/>
      <c r="S118" s="32"/>
      <c r="T118" s="32"/>
      <c r="U118" s="32"/>
      <c r="V118" s="32"/>
      <c r="W118" s="32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</row>
    <row r="119" spans="1:34" x14ac:dyDescent="0.3">
      <c r="A119" s="32"/>
      <c r="B119" s="32"/>
      <c r="C119" s="32"/>
      <c r="D119" s="32"/>
      <c r="E119" s="32"/>
      <c r="F119" s="107"/>
      <c r="G119" s="107"/>
      <c r="H119" s="107"/>
      <c r="I119" s="107"/>
      <c r="J119" s="107"/>
      <c r="K119" s="107"/>
      <c r="L119" s="107"/>
      <c r="M119" s="107"/>
      <c r="N119" s="107"/>
      <c r="O119" s="32"/>
      <c r="P119" s="32"/>
      <c r="Q119" s="32"/>
      <c r="R119" s="32"/>
      <c r="S119" s="32"/>
      <c r="T119" s="32"/>
      <c r="U119" s="32"/>
      <c r="V119" s="32"/>
      <c r="W119" s="32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</row>
    <row r="120" spans="1:34" x14ac:dyDescent="0.3">
      <c r="A120" s="32"/>
      <c r="B120" s="32"/>
      <c r="C120" s="32"/>
      <c r="D120" s="32"/>
      <c r="E120" s="32"/>
      <c r="F120" s="107"/>
      <c r="G120" s="107"/>
      <c r="H120" s="107"/>
      <c r="I120" s="107"/>
      <c r="J120" s="107"/>
      <c r="K120" s="107"/>
      <c r="L120" s="107"/>
      <c r="M120" s="107"/>
      <c r="N120" s="107"/>
      <c r="O120" s="32"/>
      <c r="P120" s="32"/>
      <c r="Q120" s="32"/>
      <c r="R120" s="32"/>
      <c r="S120" s="32"/>
      <c r="T120" s="32"/>
      <c r="U120" s="32"/>
      <c r="V120" s="32"/>
      <c r="W120" s="32"/>
      <c r="X120" s="32"/>
      <c r="Y120" s="32"/>
      <c r="Z120" s="32"/>
      <c r="AA120" s="32"/>
      <c r="AB120" s="32"/>
      <c r="AC120" s="32"/>
      <c r="AD120" s="32"/>
      <c r="AE120" s="32"/>
      <c r="AF120" s="32"/>
      <c r="AG120" s="32"/>
      <c r="AH120" s="32"/>
    </row>
    <row r="121" spans="1:34" x14ac:dyDescent="0.3">
      <c r="A121" s="32"/>
      <c r="B121" s="32"/>
      <c r="C121" s="32"/>
      <c r="D121" s="32"/>
      <c r="E121" s="32"/>
      <c r="F121" s="107"/>
      <c r="G121" s="107"/>
      <c r="H121" s="107"/>
      <c r="I121" s="107"/>
      <c r="J121" s="107"/>
      <c r="K121" s="107"/>
      <c r="L121" s="107"/>
      <c r="M121" s="107"/>
      <c r="N121" s="107"/>
      <c r="O121" s="32"/>
      <c r="P121" s="32"/>
      <c r="Q121" s="32"/>
      <c r="R121" s="32"/>
      <c r="S121" s="32"/>
      <c r="T121" s="32"/>
      <c r="U121" s="32"/>
      <c r="V121" s="32"/>
      <c r="W121" s="32"/>
      <c r="X121" s="32"/>
      <c r="Y121" s="32"/>
      <c r="Z121" s="32"/>
      <c r="AA121" s="32"/>
      <c r="AB121" s="32"/>
      <c r="AC121" s="32"/>
      <c r="AD121" s="32"/>
      <c r="AE121" s="32"/>
      <c r="AF121" s="32"/>
      <c r="AG121" s="32"/>
      <c r="AH121" s="32"/>
    </row>
    <row r="122" spans="1:34" x14ac:dyDescent="0.3">
      <c r="A122" s="32"/>
      <c r="B122" s="32"/>
      <c r="C122" s="32"/>
      <c r="D122" s="32"/>
      <c r="E122" s="32"/>
      <c r="F122" s="107"/>
      <c r="G122" s="107"/>
      <c r="H122" s="107"/>
      <c r="I122" s="107"/>
      <c r="J122" s="107"/>
      <c r="K122" s="107"/>
      <c r="L122" s="107"/>
      <c r="M122" s="107"/>
      <c r="N122" s="107"/>
      <c r="O122" s="32"/>
      <c r="P122" s="32"/>
      <c r="Q122" s="32"/>
      <c r="R122" s="32"/>
      <c r="S122" s="32"/>
      <c r="T122" s="32"/>
      <c r="U122" s="32"/>
      <c r="V122" s="32"/>
      <c r="W122" s="32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</row>
    <row r="123" spans="1:34" x14ac:dyDescent="0.3">
      <c r="A123" s="32"/>
      <c r="B123" s="32"/>
      <c r="C123" s="32"/>
      <c r="D123" s="32"/>
      <c r="E123" s="32"/>
      <c r="F123" s="107"/>
      <c r="G123" s="107"/>
      <c r="H123" s="107"/>
      <c r="I123" s="107"/>
      <c r="J123" s="107"/>
      <c r="K123" s="107"/>
      <c r="L123" s="107"/>
      <c r="M123" s="107"/>
      <c r="N123" s="107"/>
      <c r="O123" s="32"/>
      <c r="P123" s="32"/>
      <c r="Q123" s="32"/>
      <c r="R123" s="32"/>
      <c r="S123" s="32"/>
      <c r="T123" s="32"/>
      <c r="U123" s="32"/>
      <c r="V123" s="32"/>
      <c r="W123" s="32"/>
      <c r="X123" s="32"/>
      <c r="Y123" s="32"/>
      <c r="Z123" s="32"/>
      <c r="AA123" s="32"/>
      <c r="AB123" s="32"/>
      <c r="AC123" s="32"/>
      <c r="AD123" s="32"/>
      <c r="AE123" s="32"/>
      <c r="AF123" s="32"/>
      <c r="AG123" s="32"/>
      <c r="AH123" s="32"/>
    </row>
    <row r="124" spans="1:34" x14ac:dyDescent="0.3">
      <c r="A124" s="32"/>
      <c r="B124" s="32"/>
      <c r="C124" s="32"/>
      <c r="D124" s="32"/>
      <c r="E124" s="32"/>
      <c r="F124" s="107"/>
      <c r="G124" s="107"/>
      <c r="H124" s="107"/>
      <c r="I124" s="107"/>
      <c r="J124" s="107"/>
      <c r="K124" s="107"/>
      <c r="L124" s="107"/>
      <c r="M124" s="107"/>
      <c r="N124" s="107"/>
      <c r="O124" s="32"/>
      <c r="P124" s="32"/>
      <c r="Q124" s="32"/>
      <c r="R124" s="32"/>
      <c r="S124" s="32"/>
      <c r="T124" s="32"/>
      <c r="U124" s="32"/>
      <c r="V124" s="32"/>
      <c r="W124" s="32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</row>
    <row r="125" spans="1:34" x14ac:dyDescent="0.3">
      <c r="A125" s="32"/>
      <c r="B125" s="32"/>
      <c r="C125" s="32"/>
      <c r="D125" s="32"/>
      <c r="E125" s="32"/>
      <c r="F125" s="107"/>
      <c r="G125" s="107"/>
      <c r="H125" s="107"/>
      <c r="I125" s="107"/>
      <c r="J125" s="107"/>
      <c r="K125" s="107"/>
      <c r="L125" s="107"/>
      <c r="M125" s="107"/>
      <c r="N125" s="107"/>
      <c r="O125" s="32"/>
      <c r="P125" s="32"/>
      <c r="Q125" s="32"/>
      <c r="R125" s="32"/>
      <c r="S125" s="32"/>
      <c r="T125" s="32"/>
      <c r="U125" s="32"/>
      <c r="V125" s="32"/>
      <c r="W125" s="32"/>
      <c r="X125" s="32"/>
      <c r="Y125" s="32"/>
      <c r="Z125" s="32"/>
      <c r="AA125" s="32"/>
      <c r="AB125" s="32"/>
      <c r="AC125" s="32"/>
      <c r="AD125" s="32"/>
      <c r="AE125" s="32"/>
      <c r="AF125" s="32"/>
      <c r="AG125" s="32"/>
      <c r="AH125" s="32"/>
    </row>
    <row r="126" spans="1:34" x14ac:dyDescent="0.3">
      <c r="A126" s="32"/>
      <c r="B126" s="32"/>
      <c r="C126" s="32"/>
      <c r="D126" s="32"/>
      <c r="E126" s="32"/>
      <c r="F126" s="107"/>
      <c r="G126" s="107"/>
      <c r="H126" s="107"/>
      <c r="I126" s="107"/>
      <c r="J126" s="107"/>
      <c r="K126" s="107"/>
      <c r="L126" s="107"/>
      <c r="M126" s="107"/>
      <c r="N126" s="107"/>
      <c r="O126" s="32"/>
      <c r="P126" s="32"/>
      <c r="Q126" s="32"/>
      <c r="R126" s="32"/>
      <c r="S126" s="32"/>
      <c r="T126" s="32"/>
      <c r="U126" s="32"/>
      <c r="V126" s="32"/>
      <c r="W126" s="32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</row>
    <row r="127" spans="1:34" x14ac:dyDescent="0.3">
      <c r="A127" s="32"/>
      <c r="B127" s="32"/>
      <c r="C127" s="32"/>
      <c r="D127" s="32"/>
      <c r="E127" s="32"/>
      <c r="F127" s="107"/>
      <c r="G127" s="107"/>
      <c r="H127" s="107"/>
      <c r="I127" s="107"/>
      <c r="J127" s="107"/>
      <c r="K127" s="107"/>
      <c r="L127" s="107"/>
      <c r="M127" s="107"/>
      <c r="N127" s="107"/>
      <c r="O127" s="32"/>
      <c r="P127" s="32"/>
      <c r="Q127" s="32"/>
      <c r="R127" s="32"/>
      <c r="S127" s="32"/>
      <c r="T127" s="32"/>
      <c r="U127" s="32"/>
      <c r="V127" s="32"/>
      <c r="W127" s="32"/>
      <c r="X127" s="32"/>
      <c r="Y127" s="32"/>
      <c r="Z127" s="32"/>
      <c r="AA127" s="32"/>
      <c r="AB127" s="32"/>
      <c r="AC127" s="32"/>
      <c r="AD127" s="32"/>
      <c r="AE127" s="32"/>
      <c r="AF127" s="32"/>
      <c r="AG127" s="32"/>
      <c r="AH127" s="32"/>
    </row>
    <row r="128" spans="1:34" x14ac:dyDescent="0.3">
      <c r="A128" s="32"/>
      <c r="B128" s="228"/>
      <c r="C128" s="228"/>
      <c r="D128" s="228"/>
      <c r="E128" s="228"/>
      <c r="F128" s="118"/>
      <c r="G128" s="118"/>
      <c r="H128" s="118"/>
      <c r="I128" s="118"/>
      <c r="J128" s="118"/>
      <c r="K128" s="118"/>
      <c r="L128" s="118"/>
      <c r="M128" s="118"/>
      <c r="N128" s="107"/>
      <c r="O128" s="32"/>
      <c r="P128" s="32"/>
      <c r="Q128" s="32"/>
      <c r="R128" s="32"/>
      <c r="S128" s="32"/>
      <c r="T128" s="32"/>
      <c r="U128" s="32"/>
      <c r="V128" s="32"/>
      <c r="W128" s="32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</row>
    <row r="129" spans="1:34" x14ac:dyDescent="0.3">
      <c r="A129" s="32"/>
      <c r="B129" s="228"/>
      <c r="C129" s="228"/>
      <c r="D129" s="228"/>
      <c r="E129" s="228"/>
      <c r="F129" s="118"/>
      <c r="G129" s="118"/>
      <c r="H129" s="118"/>
      <c r="I129" s="118"/>
      <c r="J129" s="118"/>
      <c r="K129" s="118"/>
      <c r="L129" s="118"/>
      <c r="M129" s="118"/>
      <c r="N129" s="107"/>
      <c r="O129" s="32"/>
      <c r="P129" s="32"/>
      <c r="Q129" s="32"/>
      <c r="R129" s="32"/>
      <c r="S129" s="32"/>
      <c r="T129" s="32"/>
      <c r="U129" s="32"/>
      <c r="V129" s="32"/>
      <c r="W129" s="32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</row>
    <row r="130" spans="1:34" x14ac:dyDescent="0.3">
      <c r="A130" s="32"/>
      <c r="B130" s="229"/>
      <c r="C130" s="229"/>
      <c r="D130" s="229"/>
      <c r="E130" s="229"/>
      <c r="F130" s="118"/>
      <c r="G130" s="118"/>
      <c r="H130" s="118"/>
      <c r="I130" s="118"/>
      <c r="J130" s="118"/>
      <c r="K130" s="118"/>
      <c r="L130" s="118"/>
      <c r="M130" s="118"/>
      <c r="N130" s="165"/>
      <c r="O130" s="32"/>
      <c r="P130" s="32"/>
      <c r="Q130" s="32"/>
      <c r="R130" s="32"/>
      <c r="S130" s="32"/>
      <c r="T130" s="32"/>
      <c r="U130" s="32"/>
      <c r="V130" s="32"/>
      <c r="W130" s="32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</row>
    <row r="131" spans="1:34" x14ac:dyDescent="0.3">
      <c r="A131" s="166"/>
      <c r="B131" s="166"/>
      <c r="C131" s="166"/>
      <c r="D131" s="166"/>
      <c r="E131" s="166"/>
      <c r="F131" s="167"/>
      <c r="G131" s="167"/>
      <c r="H131" s="167"/>
      <c r="I131" s="167"/>
      <c r="J131" s="167"/>
      <c r="K131" s="167"/>
      <c r="L131" s="167"/>
      <c r="M131" s="167"/>
      <c r="N131" s="167"/>
      <c r="O131" s="32"/>
      <c r="P131" s="32"/>
      <c r="Q131" s="32"/>
      <c r="R131" s="32"/>
      <c r="S131" s="32"/>
      <c r="T131" s="32"/>
      <c r="U131" s="32"/>
      <c r="V131" s="32"/>
      <c r="W131" s="32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</row>
    <row r="132" spans="1:34" x14ac:dyDescent="0.3">
      <c r="A132" s="32"/>
      <c r="B132" s="168"/>
      <c r="C132" s="32"/>
      <c r="D132" s="32"/>
      <c r="E132" s="169"/>
      <c r="F132" s="107"/>
      <c r="G132" s="107"/>
      <c r="H132" s="107"/>
      <c r="I132" s="107"/>
      <c r="J132" s="107"/>
      <c r="K132" s="107"/>
      <c r="L132" s="107"/>
      <c r="M132" s="107"/>
      <c r="N132" s="107"/>
      <c r="O132" s="32"/>
      <c r="P132" s="32"/>
      <c r="Q132" s="32"/>
      <c r="R132" s="32"/>
      <c r="S132" s="32"/>
      <c r="T132" s="32"/>
      <c r="U132" s="32"/>
      <c r="V132" s="32"/>
      <c r="W132" s="32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</row>
    <row r="133" spans="1:34" x14ac:dyDescent="0.3">
      <c r="A133" s="32"/>
      <c r="B133" s="168"/>
      <c r="C133" s="32"/>
      <c r="D133" s="32"/>
      <c r="E133" s="169"/>
      <c r="F133" s="107"/>
      <c r="G133" s="107"/>
      <c r="H133" s="107"/>
      <c r="I133" s="107"/>
      <c r="J133" s="107"/>
      <c r="K133" s="107"/>
      <c r="L133" s="107"/>
      <c r="M133" s="107"/>
      <c r="N133" s="107"/>
      <c r="O133" s="32"/>
      <c r="P133" s="32"/>
      <c r="Q133" s="32"/>
      <c r="R133" s="32"/>
      <c r="S133" s="32"/>
      <c r="T133" s="32"/>
      <c r="U133" s="32"/>
      <c r="V133" s="32"/>
      <c r="W133" s="32"/>
      <c r="X133" s="32"/>
      <c r="Y133" s="32"/>
      <c r="Z133" s="32"/>
      <c r="AA133" s="32"/>
      <c r="AB133" s="32"/>
      <c r="AC133" s="32"/>
      <c r="AD133" s="32"/>
      <c r="AE133" s="32"/>
      <c r="AF133" s="32"/>
      <c r="AG133" s="32"/>
      <c r="AH133" s="32"/>
    </row>
    <row r="134" spans="1:34" x14ac:dyDescent="0.3">
      <c r="A134" s="32"/>
      <c r="B134" s="168"/>
      <c r="C134" s="32"/>
      <c r="D134" s="32"/>
      <c r="E134" s="169"/>
      <c r="F134" s="107"/>
      <c r="G134" s="107"/>
      <c r="H134" s="107"/>
      <c r="I134" s="107"/>
      <c r="J134" s="107"/>
      <c r="K134" s="107"/>
      <c r="L134" s="107"/>
      <c r="M134" s="107"/>
      <c r="N134" s="107"/>
      <c r="O134" s="32"/>
      <c r="P134" s="32"/>
      <c r="Q134" s="32"/>
      <c r="R134" s="32"/>
      <c r="S134" s="32"/>
      <c r="T134" s="32"/>
      <c r="U134" s="32"/>
      <c r="V134" s="32"/>
      <c r="W134" s="32"/>
      <c r="X134" s="32"/>
      <c r="Y134" s="32"/>
      <c r="Z134" s="32"/>
      <c r="AA134" s="32"/>
      <c r="AB134" s="32"/>
      <c r="AC134" s="32"/>
      <c r="AD134" s="32"/>
      <c r="AE134" s="32"/>
      <c r="AF134" s="32"/>
      <c r="AG134" s="32"/>
      <c r="AH134" s="32"/>
    </row>
    <row r="135" spans="1:34" x14ac:dyDescent="0.3">
      <c r="A135" s="32"/>
      <c r="B135" s="32"/>
      <c r="C135" s="32"/>
      <c r="D135" s="32"/>
      <c r="E135" s="170"/>
      <c r="F135" s="118"/>
      <c r="G135" s="118"/>
      <c r="H135" s="118"/>
      <c r="I135" s="118"/>
      <c r="J135" s="118"/>
      <c r="K135" s="118"/>
      <c r="L135" s="118"/>
      <c r="M135" s="118"/>
      <c r="N135" s="118"/>
      <c r="O135" s="32"/>
      <c r="P135" s="32"/>
      <c r="Q135" s="32"/>
      <c r="R135" s="32"/>
      <c r="S135" s="32"/>
      <c r="T135" s="32"/>
      <c r="U135" s="32"/>
      <c r="V135" s="32"/>
      <c r="W135" s="32"/>
      <c r="X135" s="32"/>
      <c r="Y135" s="32"/>
      <c r="Z135" s="32"/>
      <c r="AA135" s="32"/>
      <c r="AB135" s="32"/>
      <c r="AC135" s="32"/>
      <c r="AD135" s="32"/>
      <c r="AE135" s="32"/>
      <c r="AF135" s="32"/>
      <c r="AG135" s="32"/>
    </row>
    <row r="136" spans="1:34" x14ac:dyDescent="0.3">
      <c r="A136" s="32"/>
      <c r="B136" s="32"/>
      <c r="C136" s="32"/>
      <c r="D136" s="230"/>
      <c r="E136" s="230"/>
      <c r="F136" s="107"/>
      <c r="G136" s="107"/>
      <c r="H136" s="107"/>
      <c r="I136" s="107"/>
      <c r="J136" s="107"/>
      <c r="K136" s="107"/>
      <c r="L136" s="107"/>
      <c r="M136" s="107"/>
      <c r="N136" s="118"/>
      <c r="O136" s="32"/>
      <c r="P136" s="32"/>
      <c r="Q136" s="32"/>
      <c r="R136" s="32"/>
      <c r="S136" s="32"/>
      <c r="T136" s="32"/>
      <c r="U136" s="32"/>
      <c r="V136" s="32"/>
      <c r="W136" s="32"/>
      <c r="X136" s="32"/>
      <c r="Y136" s="32"/>
      <c r="Z136" s="32"/>
      <c r="AA136" s="32"/>
      <c r="AB136" s="32"/>
      <c r="AC136" s="32"/>
      <c r="AD136" s="32"/>
      <c r="AE136" s="32"/>
      <c r="AF136" s="32"/>
      <c r="AG136" s="32"/>
    </row>
    <row r="137" spans="1:34" ht="15.6" x14ac:dyDescent="0.3">
      <c r="A137" s="32"/>
      <c r="B137" s="32"/>
      <c r="C137" s="32"/>
      <c r="D137" s="227"/>
      <c r="E137" s="227"/>
      <c r="F137" s="171"/>
      <c r="G137" s="171"/>
      <c r="H137" s="171"/>
      <c r="I137" s="171"/>
      <c r="J137" s="171"/>
      <c r="K137" s="171"/>
      <c r="L137" s="171"/>
      <c r="M137" s="171"/>
      <c r="N137" s="118"/>
      <c r="O137" s="32"/>
      <c r="P137" s="32"/>
      <c r="Q137" s="32"/>
      <c r="R137" s="32"/>
      <c r="S137" s="32"/>
      <c r="T137" s="32"/>
      <c r="U137" s="32"/>
      <c r="V137" s="32"/>
      <c r="W137" s="32"/>
      <c r="X137" s="32"/>
      <c r="Y137" s="32"/>
      <c r="Z137" s="32"/>
      <c r="AA137" s="32"/>
      <c r="AB137" s="32"/>
      <c r="AC137" s="32"/>
      <c r="AD137" s="32"/>
      <c r="AE137" s="32"/>
      <c r="AF137" s="32"/>
      <c r="AG137" s="32"/>
    </row>
  </sheetData>
  <sheetProtection formatCells="0" formatColumns="0" formatRows="0" insertColumns="0" insertRows="0" insertHyperlinks="0" deleteColumns="0" deleteRows="0"/>
  <mergeCells count="26">
    <mergeCell ref="Q63:S63"/>
    <mergeCell ref="D137:E137"/>
    <mergeCell ref="B128:E128"/>
    <mergeCell ref="B129:E129"/>
    <mergeCell ref="B130:E130"/>
    <mergeCell ref="D136:E136"/>
    <mergeCell ref="D74:E74"/>
    <mergeCell ref="D69:E69"/>
    <mergeCell ref="D70:E70"/>
    <mergeCell ref="D66:E66"/>
    <mergeCell ref="D68:E68"/>
    <mergeCell ref="D72:E72"/>
    <mergeCell ref="C67:E67"/>
    <mergeCell ref="B73:D73"/>
    <mergeCell ref="D76:E76"/>
    <mergeCell ref="D75:E75"/>
    <mergeCell ref="D71:E71"/>
    <mergeCell ref="F6:N10"/>
    <mergeCell ref="F5:N5"/>
    <mergeCell ref="B2:C2"/>
    <mergeCell ref="B52:E52"/>
    <mergeCell ref="B53:E53"/>
    <mergeCell ref="B54:E54"/>
    <mergeCell ref="D65:E65"/>
    <mergeCell ref="B3:C3"/>
    <mergeCell ref="B6:D6"/>
  </mergeCells>
  <phoneticPr fontId="8" type="noConversion"/>
  <conditionalFormatting sqref="F73:M73">
    <cfRule type="cellIs" dxfId="1" priority="2" operator="greaterThan">
      <formula>0</formula>
    </cfRule>
  </conditionalFormatting>
  <dataValidations xWindow="268" yWindow="405" count="1">
    <dataValidation type="list" errorStyle="warning" allowBlank="1" showInputMessage="1" showErrorMessage="1" errorTitle="Invalid Year" error="Please input a year between 2023 and 2029.  This determines the labor rates, burden, and G&amp;A being used._x000a_" promptTitle="Input year" prompt="Please input a year between 2023 and 2037.  This determines the labor rates, burden, and G&amp;A being used._x000a_" sqref="B9" xr:uid="{ADAFEE78-CABF-48B9-A60C-4CDA170E7DBA}">
      <formula1>$B$84:$B$98</formula1>
    </dataValidation>
  </dataValidations>
  <printOptions horizontalCentered="1"/>
  <pageMargins left="0.25" right="0.25" top="0.75" bottom="0.75" header="0.3" footer="0.3"/>
  <pageSetup scale="64" orientation="portrait" r:id="rId1"/>
  <headerFooter>
    <oddHeader>&amp;C&amp;14ESTIMATING QUOTE WORKSHEET&amp;11
&amp;G</oddHeader>
    <oddFooter>&amp;LForm 205 Rev E&amp;CPage &amp;P</oddFooter>
  </headerFooter>
  <drawing r:id="rId2"/>
  <legacyDrawing r:id="rId3"/>
  <legacyDrawingHF r:id="rId4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35" r:id="rId5" name="Check Box 11">
              <controlPr defaultSize="0" autoFill="0" autoLine="0" autoPict="0" altText="Amortize?_x000a_">
                <anchor moveWithCells="1">
                  <from>
                    <xdr:col>13</xdr:col>
                    <xdr:colOff>30480</xdr:colOff>
                    <xdr:row>32</xdr:row>
                    <xdr:rowOff>373380</xdr:rowOff>
                  </from>
                  <to>
                    <xdr:col>13</xdr:col>
                    <xdr:colOff>731520</xdr:colOff>
                    <xdr:row>34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6" r:id="rId6" name="Check Box 12">
              <controlPr defaultSize="0" autoFill="0" autoLine="0" autoPict="0" altText="Amortize?_x000a_">
                <anchor moveWithCells="1">
                  <from>
                    <xdr:col>13</xdr:col>
                    <xdr:colOff>38100</xdr:colOff>
                    <xdr:row>33</xdr:row>
                    <xdr:rowOff>182880</xdr:rowOff>
                  </from>
                  <to>
                    <xdr:col>13</xdr:col>
                    <xdr:colOff>746760</xdr:colOff>
                    <xdr:row>35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7" r:id="rId7" name="Check Box 13">
              <controlPr defaultSize="0" autoFill="0" autoLine="0" autoPict="0" altText="Amortize?_x000a_">
                <anchor moveWithCells="1">
                  <from>
                    <xdr:col>13</xdr:col>
                    <xdr:colOff>38100</xdr:colOff>
                    <xdr:row>35</xdr:row>
                    <xdr:rowOff>0</xdr:rowOff>
                  </from>
                  <to>
                    <xdr:col>13</xdr:col>
                    <xdr:colOff>746760</xdr:colOff>
                    <xdr:row>36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8" r:id="rId8" name="Check Box 14">
              <controlPr defaultSize="0" autoFill="0" autoLine="0" autoPict="0" altText="Amortize?_x000a_">
                <anchor moveWithCells="1">
                  <from>
                    <xdr:col>13</xdr:col>
                    <xdr:colOff>38100</xdr:colOff>
                    <xdr:row>36</xdr:row>
                    <xdr:rowOff>0</xdr:rowOff>
                  </from>
                  <to>
                    <xdr:col>13</xdr:col>
                    <xdr:colOff>746760</xdr:colOff>
                    <xdr:row>37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0" r:id="rId9" name="Check Box 16">
              <controlPr defaultSize="0" autoFill="0" autoLine="0" autoPict="0" altText="Amortize?_x000a_">
                <anchor moveWithCells="1">
                  <from>
                    <xdr:col>13</xdr:col>
                    <xdr:colOff>38100</xdr:colOff>
                    <xdr:row>37</xdr:row>
                    <xdr:rowOff>0</xdr:rowOff>
                  </from>
                  <to>
                    <xdr:col>13</xdr:col>
                    <xdr:colOff>746760</xdr:colOff>
                    <xdr:row>38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1" r:id="rId10" name="Check Box 17">
              <controlPr defaultSize="0" autoFill="0" autoLine="0" autoPict="0" altText="Amortize?_x000a_">
                <anchor moveWithCells="1">
                  <from>
                    <xdr:col>13</xdr:col>
                    <xdr:colOff>38100</xdr:colOff>
                    <xdr:row>38</xdr:row>
                    <xdr:rowOff>0</xdr:rowOff>
                  </from>
                  <to>
                    <xdr:col>13</xdr:col>
                    <xdr:colOff>746760</xdr:colOff>
                    <xdr:row>39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2" r:id="rId11" name="Check Box 18">
              <controlPr defaultSize="0" autoFill="0" autoLine="0" autoPict="0" altText="Amortize?_x000a_">
                <anchor moveWithCells="1">
                  <from>
                    <xdr:col>13</xdr:col>
                    <xdr:colOff>38100</xdr:colOff>
                    <xdr:row>39</xdr:row>
                    <xdr:rowOff>0</xdr:rowOff>
                  </from>
                  <to>
                    <xdr:col>13</xdr:col>
                    <xdr:colOff>746760</xdr:colOff>
                    <xdr:row>40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3" r:id="rId12" name="Check Box 19">
              <controlPr defaultSize="0" autoFill="0" autoLine="0" autoPict="0" altText="Amortize?_x000a_">
                <anchor moveWithCells="1">
                  <from>
                    <xdr:col>13</xdr:col>
                    <xdr:colOff>38100</xdr:colOff>
                    <xdr:row>40</xdr:row>
                    <xdr:rowOff>0</xdr:rowOff>
                  </from>
                  <to>
                    <xdr:col>13</xdr:col>
                    <xdr:colOff>746760</xdr:colOff>
                    <xdr:row>41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4" r:id="rId13" name="Check Box 20">
              <controlPr defaultSize="0" autoFill="0" autoLine="0" autoPict="0" altText="Amortize?_x000a_">
                <anchor moveWithCells="1">
                  <from>
                    <xdr:col>13</xdr:col>
                    <xdr:colOff>38100</xdr:colOff>
                    <xdr:row>41</xdr:row>
                    <xdr:rowOff>0</xdr:rowOff>
                  </from>
                  <to>
                    <xdr:col>13</xdr:col>
                    <xdr:colOff>746760</xdr:colOff>
                    <xdr:row>42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5" r:id="rId14" name="Check Box 21">
              <controlPr defaultSize="0" autoFill="0" autoLine="0" autoPict="0" altText="Amortize?_x000a_">
                <anchor moveWithCells="1">
                  <from>
                    <xdr:col>13</xdr:col>
                    <xdr:colOff>38100</xdr:colOff>
                    <xdr:row>42</xdr:row>
                    <xdr:rowOff>0</xdr:rowOff>
                  </from>
                  <to>
                    <xdr:col>13</xdr:col>
                    <xdr:colOff>746760</xdr:colOff>
                    <xdr:row>43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6" r:id="rId15" name="Check Box 22">
              <controlPr defaultSize="0" autoFill="0" autoLine="0" autoPict="0" altText="Amortize?_x000a_">
                <anchor moveWithCells="1">
                  <from>
                    <xdr:col>13</xdr:col>
                    <xdr:colOff>38100</xdr:colOff>
                    <xdr:row>43</xdr:row>
                    <xdr:rowOff>0</xdr:rowOff>
                  </from>
                  <to>
                    <xdr:col>13</xdr:col>
                    <xdr:colOff>746760</xdr:colOff>
                    <xdr:row>44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7" r:id="rId16" name="Check Box 23">
              <controlPr defaultSize="0" autoFill="0" autoLine="0" autoPict="0" altText="Amortize?_x000a_">
                <anchor moveWithCells="1">
                  <from>
                    <xdr:col>13</xdr:col>
                    <xdr:colOff>38100</xdr:colOff>
                    <xdr:row>44</xdr:row>
                    <xdr:rowOff>0</xdr:rowOff>
                  </from>
                  <to>
                    <xdr:col>13</xdr:col>
                    <xdr:colOff>746760</xdr:colOff>
                    <xdr:row>45</xdr:row>
                    <xdr:rowOff>7620</xdr:rowOff>
                  </to>
                </anchor>
              </controlPr>
            </control>
          </mc:Choice>
        </mc:AlternateContent>
      </controls>
    </mc:Choice>
  </mc:AlternateContent>
  <extLst>
    <ext xmlns:x14="http://schemas.microsoft.com/office/spreadsheetml/2009/9/main" uri="{CCE6A557-97BC-4b89-ADB6-D9C93CAAB3DF}">
      <x14:dataValidations xmlns:xm="http://schemas.microsoft.com/office/excel/2006/main" xWindow="268" yWindow="405" count="1">
        <x14:dataValidation type="list" allowBlank="1" showInputMessage="1" showErrorMessage="1" xr:uid="{D987424B-4228-4EEE-877D-AF35E1963CDD}">
          <x14:formula1>
            <xm:f>'Rubber Breakdown'!$A$111:$A$148</xm:f>
          </x14:formula1>
          <xm:sqref>A17:A26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AF150"/>
  <sheetViews>
    <sheetView tabSelected="1" topLeftCell="A26" zoomScaleNormal="100" zoomScalePageLayoutView="70" workbookViewId="0">
      <selection activeCell="O11" sqref="O11"/>
    </sheetView>
  </sheetViews>
  <sheetFormatPr defaultRowHeight="14.4" x14ac:dyDescent="0.3"/>
  <cols>
    <col min="1" max="1" width="29.88671875" customWidth="1"/>
    <col min="2" max="3" width="8.6640625" customWidth="1"/>
    <col min="4" max="4" width="10.44140625" customWidth="1"/>
    <col min="5" max="5" width="10.5546875" bestFit="1" customWidth="1"/>
    <col min="6" max="13" width="8.6640625" customWidth="1"/>
    <col min="14" max="14" width="10.109375" customWidth="1"/>
    <col min="15" max="15" width="23" bestFit="1" customWidth="1"/>
    <col min="18" max="18" width="10.33203125" customWidth="1"/>
    <col min="19" max="19" width="12.44140625" customWidth="1"/>
  </cols>
  <sheetData>
    <row r="1" spans="1:32" ht="13.5" customHeight="1" thickBot="1" x14ac:dyDescent="0.35">
      <c r="A1" s="9"/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7"/>
      <c r="O1" s="32"/>
      <c r="P1" s="32"/>
      <c r="Q1" s="32"/>
      <c r="R1" s="32"/>
      <c r="S1" s="32"/>
      <c r="T1" s="32"/>
      <c r="U1" s="32"/>
      <c r="V1" s="32"/>
      <c r="W1" s="32"/>
      <c r="X1" s="32"/>
      <c r="Y1" s="32"/>
      <c r="Z1" s="32"/>
      <c r="AA1" s="32"/>
      <c r="AB1" s="32"/>
      <c r="AC1" s="32"/>
      <c r="AD1" s="32"/>
      <c r="AE1" s="32"/>
      <c r="AF1" s="32"/>
    </row>
    <row r="2" spans="1:32" ht="13.5" customHeight="1" x14ac:dyDescent="0.3">
      <c r="A2" s="25" t="s">
        <v>24</v>
      </c>
      <c r="B2" s="257" t="s">
        <v>134</v>
      </c>
      <c r="C2" s="258"/>
      <c r="D2" s="35"/>
      <c r="E2" s="42"/>
      <c r="F2" s="248" t="s">
        <v>73</v>
      </c>
      <c r="G2" s="249"/>
      <c r="H2" s="35"/>
      <c r="I2" s="35"/>
      <c r="J2" s="35"/>
      <c r="K2" s="35"/>
      <c r="L2" s="35"/>
      <c r="M2" s="35"/>
      <c r="N2" s="42"/>
      <c r="O2" s="32"/>
      <c r="P2" s="130"/>
      <c r="Q2" s="244" t="s">
        <v>50</v>
      </c>
      <c r="R2" s="244"/>
      <c r="S2" s="244"/>
      <c r="T2" s="32"/>
      <c r="U2" s="32"/>
      <c r="V2" s="32"/>
      <c r="W2" s="32"/>
      <c r="X2" s="32"/>
      <c r="Y2" s="32"/>
      <c r="Z2" s="32"/>
      <c r="AA2" s="32"/>
      <c r="AB2" s="32"/>
      <c r="AC2" s="32"/>
      <c r="AD2" s="32"/>
      <c r="AE2" s="32"/>
      <c r="AF2" s="32"/>
    </row>
    <row r="3" spans="1:32" ht="13.5" customHeight="1" x14ac:dyDescent="0.3">
      <c r="A3" s="24" t="s">
        <v>26</v>
      </c>
      <c r="B3" s="222" t="s">
        <v>135</v>
      </c>
      <c r="C3" s="222"/>
      <c r="D3" s="55" t="s">
        <v>37</v>
      </c>
      <c r="E3" s="144"/>
      <c r="F3" s="250" t="s">
        <v>71</v>
      </c>
      <c r="G3" s="251"/>
      <c r="H3" s="36"/>
      <c r="I3" s="36"/>
      <c r="J3" s="36"/>
      <c r="K3" s="36"/>
      <c r="L3" s="247" t="s">
        <v>77</v>
      </c>
      <c r="M3" s="247"/>
      <c r="N3" s="43"/>
      <c r="O3" s="32"/>
      <c r="P3" s="130"/>
      <c r="Q3" s="132" t="s">
        <v>41</v>
      </c>
      <c r="R3" s="132" t="s">
        <v>51</v>
      </c>
      <c r="S3" s="132" t="s">
        <v>52</v>
      </c>
      <c r="T3" s="32"/>
      <c r="U3" s="32"/>
      <c r="V3" s="32"/>
      <c r="W3" s="32"/>
      <c r="X3" s="32"/>
      <c r="Y3" s="32"/>
      <c r="Z3" s="32"/>
      <c r="AA3" s="32"/>
      <c r="AB3" s="32"/>
      <c r="AC3" s="32"/>
      <c r="AD3" s="32"/>
      <c r="AE3" s="32"/>
      <c r="AF3" s="32"/>
    </row>
    <row r="4" spans="1:32" ht="13.5" customHeight="1" x14ac:dyDescent="0.3">
      <c r="A4" s="24" t="s">
        <v>25</v>
      </c>
      <c r="B4" s="130" t="s">
        <v>136</v>
      </c>
      <c r="C4" s="56"/>
      <c r="D4" s="55" t="s">
        <v>38</v>
      </c>
      <c r="E4" s="144"/>
      <c r="F4" s="250" t="s">
        <v>78</v>
      </c>
      <c r="G4" s="251"/>
      <c r="H4" s="146">
        <v>0.95</v>
      </c>
      <c r="I4" s="36"/>
      <c r="J4" s="36"/>
      <c r="K4" s="36"/>
      <c r="L4" s="247" t="s">
        <v>84</v>
      </c>
      <c r="M4" s="247"/>
      <c r="N4" s="152">
        <v>0.12</v>
      </c>
      <c r="O4" s="32"/>
      <c r="P4" s="130"/>
      <c r="Q4" s="133">
        <f>F13</f>
        <v>20</v>
      </c>
      <c r="R4" s="134">
        <f>F87</f>
        <v>138.26775871499999</v>
      </c>
      <c r="S4" s="134">
        <f>R4*Q4</f>
        <v>2765.3551742999998</v>
      </c>
      <c r="T4" s="32"/>
      <c r="U4" s="32"/>
      <c r="V4" s="32"/>
      <c r="W4" s="32"/>
      <c r="X4" s="32"/>
      <c r="Y4" s="32"/>
      <c r="Z4" s="32"/>
      <c r="AA4" s="32"/>
      <c r="AB4" s="32"/>
      <c r="AC4" s="32"/>
      <c r="AD4" s="32"/>
      <c r="AE4" s="32"/>
      <c r="AF4" s="32"/>
    </row>
    <row r="5" spans="1:32" ht="13.5" customHeight="1" x14ac:dyDescent="0.3">
      <c r="A5" s="24" t="s">
        <v>27</v>
      </c>
      <c r="B5" s="256">
        <v>4436</v>
      </c>
      <c r="C5" s="56"/>
      <c r="D5" s="55" t="s">
        <v>39</v>
      </c>
      <c r="E5" s="144"/>
      <c r="F5" s="252" t="s">
        <v>72</v>
      </c>
      <c r="G5" s="253"/>
      <c r="H5" s="36"/>
      <c r="I5" s="36"/>
      <c r="J5" s="36"/>
      <c r="K5" s="36"/>
      <c r="L5" s="36"/>
      <c r="M5" s="36"/>
      <c r="N5" s="43"/>
      <c r="O5" s="32"/>
      <c r="P5" s="130"/>
      <c r="Q5" s="135">
        <f>G13</f>
        <v>40</v>
      </c>
      <c r="R5" s="136">
        <f>G87</f>
        <v>124.75395060125001</v>
      </c>
      <c r="S5" s="136">
        <f t="shared" ref="S5:S7" si="0">R5*Q5</f>
        <v>4990.1580240500007</v>
      </c>
      <c r="T5" s="32"/>
      <c r="U5" s="32"/>
      <c r="V5" s="32"/>
      <c r="W5" s="32"/>
      <c r="X5" s="32"/>
      <c r="Y5" s="32"/>
      <c r="Z5" s="32"/>
      <c r="AA5" s="32"/>
      <c r="AB5" s="32"/>
      <c r="AC5" s="32"/>
      <c r="AD5" s="32"/>
      <c r="AE5" s="32"/>
      <c r="AF5" s="32"/>
    </row>
    <row r="6" spans="1:32" ht="13.5" customHeight="1" x14ac:dyDescent="0.3">
      <c r="A6" s="24" t="s">
        <v>28</v>
      </c>
      <c r="B6" s="254" t="str">
        <f>F13&amp;", "&amp;G13&amp;", "&amp;H13&amp;", "&amp;I13&amp;", "&amp;J13&amp;" , "&amp;K13&amp;" , "&amp;L13&amp;", "&amp;M13</f>
        <v>20, 40, 60, 100, 125 , 150 , 175, 200</v>
      </c>
      <c r="C6" s="254"/>
      <c r="D6" s="254"/>
      <c r="E6" s="43"/>
      <c r="F6" s="205"/>
      <c r="G6" s="206"/>
      <c r="H6" s="206"/>
      <c r="I6" s="206"/>
      <c r="J6" s="206"/>
      <c r="K6" s="206"/>
      <c r="L6" s="206"/>
      <c r="M6" s="206"/>
      <c r="N6" s="207"/>
      <c r="O6" s="32"/>
      <c r="P6" s="57"/>
      <c r="Q6" s="133">
        <f>H13</f>
        <v>60</v>
      </c>
      <c r="R6" s="134">
        <f>H87</f>
        <v>120.24934789666669</v>
      </c>
      <c r="S6" s="134">
        <f t="shared" si="0"/>
        <v>7214.9608738000015</v>
      </c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</row>
    <row r="7" spans="1:32" ht="13.5" customHeight="1" x14ac:dyDescent="0.3">
      <c r="A7" s="24" t="s">
        <v>29</v>
      </c>
      <c r="B7" s="57">
        <v>46266</v>
      </c>
      <c r="C7" s="56"/>
      <c r="D7" s="36"/>
      <c r="E7" s="43"/>
      <c r="F7" s="205"/>
      <c r="G7" s="206"/>
      <c r="H7" s="206"/>
      <c r="I7" s="206"/>
      <c r="J7" s="206"/>
      <c r="K7" s="206"/>
      <c r="L7" s="206"/>
      <c r="M7" s="206"/>
      <c r="N7" s="207"/>
      <c r="O7" s="32"/>
      <c r="P7" s="32"/>
      <c r="Q7" s="135">
        <f>I13</f>
        <v>100</v>
      </c>
      <c r="R7" s="136">
        <f>I87</f>
        <v>116.64566573300002</v>
      </c>
      <c r="S7" s="136">
        <f t="shared" si="0"/>
        <v>11664.566573300002</v>
      </c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</row>
    <row r="8" spans="1:32" ht="13.5" customHeight="1" x14ac:dyDescent="0.3">
      <c r="A8" s="24" t="s">
        <v>30</v>
      </c>
      <c r="B8" s="130" t="s">
        <v>137</v>
      </c>
      <c r="C8" s="56"/>
      <c r="D8" s="36"/>
      <c r="E8" s="43"/>
      <c r="F8" s="205"/>
      <c r="G8" s="206"/>
      <c r="H8" s="206"/>
      <c r="I8" s="206"/>
      <c r="J8" s="206"/>
      <c r="K8" s="206"/>
      <c r="L8" s="206"/>
      <c r="M8" s="206"/>
      <c r="N8" s="207"/>
      <c r="O8" s="32"/>
      <c r="P8" s="32"/>
      <c r="Q8" s="135">
        <f>J13</f>
        <v>125</v>
      </c>
      <c r="R8" s="136">
        <f>J87</f>
        <v>115.5645610839</v>
      </c>
      <c r="S8" s="136">
        <f t="shared" ref="S8:S9" si="1">R8*Q8</f>
        <v>14445.5701354875</v>
      </c>
      <c r="T8" s="32"/>
      <c r="U8" s="32"/>
      <c r="V8" s="32"/>
      <c r="W8" s="32"/>
      <c r="X8" s="32"/>
      <c r="Y8" s="32"/>
      <c r="Z8" s="32"/>
      <c r="AA8" s="32"/>
      <c r="AB8" s="32"/>
      <c r="AC8" s="32"/>
      <c r="AD8" s="32"/>
      <c r="AE8" s="32"/>
      <c r="AF8" s="32"/>
    </row>
    <row r="9" spans="1:32" ht="13.5" customHeight="1" x14ac:dyDescent="0.3">
      <c r="A9" s="142" t="s">
        <v>91</v>
      </c>
      <c r="B9" s="193">
        <v>2026</v>
      </c>
      <c r="C9" s="36"/>
      <c r="D9" s="36"/>
      <c r="E9" s="43"/>
      <c r="F9" s="205"/>
      <c r="G9" s="206"/>
      <c r="H9" s="206"/>
      <c r="I9" s="206"/>
      <c r="J9" s="206"/>
      <c r="K9" s="206"/>
      <c r="L9" s="206"/>
      <c r="M9" s="206"/>
      <c r="N9" s="207"/>
      <c r="O9" s="32"/>
      <c r="P9" s="32"/>
      <c r="Q9" s="135">
        <f>K13</f>
        <v>150</v>
      </c>
      <c r="R9" s="136">
        <f>K87</f>
        <v>114.8438246511667</v>
      </c>
      <c r="S9" s="136">
        <f t="shared" si="1"/>
        <v>17226.573697675005</v>
      </c>
      <c r="T9" s="32"/>
      <c r="U9" s="32"/>
      <c r="V9" s="32"/>
      <c r="W9" s="32"/>
      <c r="X9" s="32"/>
      <c r="Y9" s="32"/>
      <c r="Z9" s="32"/>
      <c r="AA9" s="32"/>
      <c r="AB9" s="32"/>
      <c r="AC9" s="32"/>
      <c r="AD9" s="32"/>
      <c r="AE9" s="32"/>
      <c r="AF9" s="32"/>
    </row>
    <row r="10" spans="1:32" ht="13.5" customHeight="1" thickBot="1" x14ac:dyDescent="0.35">
      <c r="A10" s="122"/>
      <c r="B10" s="123"/>
      <c r="C10" s="123"/>
      <c r="D10" s="123"/>
      <c r="E10" s="145"/>
      <c r="F10" s="208"/>
      <c r="G10" s="209"/>
      <c r="H10" s="209"/>
      <c r="I10" s="209"/>
      <c r="J10" s="209"/>
      <c r="K10" s="209"/>
      <c r="L10" s="209"/>
      <c r="M10" s="209"/>
      <c r="N10" s="210"/>
      <c r="O10" s="32"/>
      <c r="P10" s="32"/>
      <c r="Q10" s="133">
        <f>L13</f>
        <v>175</v>
      </c>
      <c r="R10" s="134">
        <f>L87</f>
        <v>114.32901291350002</v>
      </c>
      <c r="S10" s="134">
        <f>R10*Q10</f>
        <v>20007.577259862504</v>
      </c>
      <c r="T10" s="32"/>
      <c r="U10" s="32"/>
      <c r="V10" s="32"/>
      <c r="W10" s="32"/>
      <c r="X10" s="32"/>
      <c r="Y10" s="32"/>
      <c r="Z10" s="32"/>
      <c r="AA10" s="32"/>
      <c r="AB10" s="32"/>
      <c r="AC10" s="32"/>
      <c r="AD10" s="32"/>
      <c r="AE10" s="32"/>
      <c r="AF10" s="32"/>
    </row>
    <row r="11" spans="1:32" ht="13.5" customHeight="1" x14ac:dyDescent="0.3">
      <c r="A11" s="23" t="s">
        <v>43</v>
      </c>
      <c r="B11" s="7"/>
      <c r="C11" s="7"/>
      <c r="D11" s="7"/>
      <c r="E11" s="7"/>
      <c r="F11" s="44"/>
      <c r="G11" s="6"/>
      <c r="H11" s="6"/>
      <c r="I11" s="6"/>
      <c r="J11" s="6"/>
      <c r="K11" s="6"/>
      <c r="L11" s="6"/>
      <c r="M11" s="6"/>
      <c r="N11" s="154"/>
      <c r="O11" s="32"/>
      <c r="P11" s="32"/>
      <c r="Q11" s="135">
        <f>M13</f>
        <v>200</v>
      </c>
      <c r="R11" s="136">
        <f>M87</f>
        <v>113.94290411025</v>
      </c>
      <c r="S11" s="136">
        <f>R11*Q11</f>
        <v>22788.58082205</v>
      </c>
      <c r="T11" s="32"/>
      <c r="U11" s="32"/>
      <c r="V11" s="32"/>
      <c r="W11" s="32"/>
      <c r="X11" s="32"/>
      <c r="Y11" s="32"/>
      <c r="Z11" s="32"/>
      <c r="AA11" s="32"/>
      <c r="AB11" s="32"/>
      <c r="AC11" s="32"/>
      <c r="AD11" s="32"/>
      <c r="AE11" s="32"/>
      <c r="AF11" s="32"/>
    </row>
    <row r="12" spans="1:32" ht="13.5" customHeight="1" thickBot="1" x14ac:dyDescent="0.35">
      <c r="A12" s="11"/>
      <c r="B12" s="7"/>
      <c r="C12" s="7"/>
      <c r="D12" s="7"/>
      <c r="E12" s="7"/>
      <c r="F12" s="245" t="s">
        <v>85</v>
      </c>
      <c r="G12" s="246"/>
      <c r="H12" s="246"/>
      <c r="I12" s="246"/>
      <c r="J12" s="246"/>
      <c r="K12" s="246"/>
      <c r="L12" s="246"/>
      <c r="M12" s="246"/>
      <c r="N12" s="153"/>
      <c r="O12" s="32"/>
      <c r="P12" s="32"/>
      <c r="Q12" s="32"/>
      <c r="R12" s="32"/>
      <c r="S12" s="32"/>
      <c r="T12" s="32"/>
      <c r="U12" s="32"/>
      <c r="V12" s="32"/>
      <c r="W12" s="32"/>
      <c r="X12" s="32"/>
      <c r="Y12" s="32"/>
      <c r="Z12" s="32"/>
      <c r="AA12" s="32"/>
      <c r="AB12" s="32"/>
      <c r="AC12" s="32"/>
      <c r="AD12" s="32"/>
      <c r="AE12" s="32"/>
      <c r="AF12" s="32"/>
    </row>
    <row r="13" spans="1:32" ht="27.75" customHeight="1" thickBot="1" x14ac:dyDescent="0.35">
      <c r="A13" s="99"/>
      <c r="B13" s="100" t="s">
        <v>11</v>
      </c>
      <c r="C13" s="100" t="s">
        <v>12</v>
      </c>
      <c r="D13" s="100" t="s">
        <v>83</v>
      </c>
      <c r="E13" s="97" t="s">
        <v>1</v>
      </c>
      <c r="F13" s="255">
        <v>20</v>
      </c>
      <c r="G13" s="255">
        <v>40</v>
      </c>
      <c r="H13" s="255">
        <v>60</v>
      </c>
      <c r="I13" s="255">
        <v>100</v>
      </c>
      <c r="J13" s="255">
        <v>125</v>
      </c>
      <c r="K13" s="255">
        <v>150</v>
      </c>
      <c r="L13" s="255">
        <v>175</v>
      </c>
      <c r="M13" s="255">
        <v>200</v>
      </c>
      <c r="N13" s="98">
        <v>1</v>
      </c>
      <c r="O13" s="115"/>
      <c r="P13" s="116"/>
      <c r="Q13" s="116"/>
      <c r="R13" s="116"/>
      <c r="S13" s="116"/>
      <c r="T13" s="116"/>
      <c r="U13" s="116"/>
      <c r="V13" s="116"/>
      <c r="W13" s="116"/>
      <c r="X13" s="116"/>
      <c r="Y13" s="32"/>
      <c r="Z13" s="32"/>
      <c r="AA13" s="32"/>
      <c r="AB13" s="32"/>
      <c r="AC13" s="32"/>
      <c r="AD13" s="32"/>
      <c r="AE13" s="32"/>
      <c r="AF13" s="32"/>
    </row>
    <row r="14" spans="1:32" ht="13.5" customHeight="1" x14ac:dyDescent="0.3">
      <c r="A14" s="61" t="s">
        <v>94</v>
      </c>
      <c r="B14" s="48"/>
      <c r="C14" s="49"/>
      <c r="D14" s="50"/>
      <c r="E14" s="137">
        <f>VLOOKUP(A14,[1]!Rates2020,$B$96,FALSE)</f>
        <v>2.08</v>
      </c>
      <c r="F14" s="51"/>
      <c r="G14" s="52"/>
      <c r="H14" s="52"/>
      <c r="I14" s="52"/>
      <c r="J14" s="52"/>
      <c r="K14" s="52"/>
      <c r="L14" s="52"/>
      <c r="M14" s="52"/>
      <c r="N14" s="52">
        <f>(($B14/N$13*$E14)+($C14*$E14))</f>
        <v>0</v>
      </c>
      <c r="O14" s="32"/>
      <c r="P14" s="32"/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B14" s="32"/>
      <c r="AC14" s="32"/>
      <c r="AD14" s="32"/>
      <c r="AE14" s="32"/>
      <c r="AF14" s="32"/>
    </row>
    <row r="15" spans="1:32" ht="13.5" customHeight="1" x14ac:dyDescent="0.3">
      <c r="A15" s="61" t="s">
        <v>65</v>
      </c>
      <c r="B15" s="48"/>
      <c r="C15" s="49"/>
      <c r="D15" s="50"/>
      <c r="E15" s="137">
        <f>VLOOKUP(A15,[1]!Rates2020,$B$96,FALSE)</f>
        <v>2.5</v>
      </c>
      <c r="F15" s="51"/>
      <c r="G15" s="52"/>
      <c r="H15" s="52"/>
      <c r="I15" s="52"/>
      <c r="J15" s="52"/>
      <c r="K15" s="52"/>
      <c r="L15" s="52"/>
      <c r="M15" s="52"/>
      <c r="N15" s="52">
        <f>(($B15/N$13*$E15)+($C15*$E15))</f>
        <v>0</v>
      </c>
      <c r="O15" s="32"/>
      <c r="P15" s="32"/>
      <c r="Q15" s="32"/>
      <c r="R15" s="32"/>
      <c r="S15" s="32"/>
      <c r="T15" s="32"/>
      <c r="U15" s="32"/>
      <c r="V15" s="32"/>
      <c r="W15" s="32"/>
      <c r="X15" s="32"/>
      <c r="Y15" s="32"/>
      <c r="Z15" s="32"/>
      <c r="AA15" s="32"/>
      <c r="AB15" s="32"/>
      <c r="AC15" s="32"/>
      <c r="AD15" s="32"/>
      <c r="AE15" s="32"/>
      <c r="AF15" s="32"/>
    </row>
    <row r="16" spans="1:32" ht="13.5" customHeight="1" x14ac:dyDescent="0.3">
      <c r="A16" s="61" t="s">
        <v>82</v>
      </c>
      <c r="B16" s="48"/>
      <c r="C16" s="49"/>
      <c r="D16" s="151" t="b">
        <v>0</v>
      </c>
      <c r="E16" s="137">
        <f>VLOOKUP(A16,[1]!Rates2020,$B$96,FALSE)</f>
        <v>1</v>
      </c>
      <c r="F16" s="51"/>
      <c r="G16" s="51"/>
      <c r="H16" s="51"/>
      <c r="I16" s="51"/>
      <c r="J16" s="51"/>
      <c r="K16" s="51"/>
      <c r="L16" s="51"/>
      <c r="M16" s="51"/>
      <c r="N16" s="52">
        <f>IF(D16=TRUE,(($B16/N$13*$E16)+($C16*$E16))*(1+$N$4),0)</f>
        <v>0</v>
      </c>
      <c r="O16" s="32"/>
      <c r="P16" s="32"/>
      <c r="Q16" s="32"/>
      <c r="R16" s="32"/>
      <c r="S16" s="32"/>
      <c r="T16" s="32"/>
      <c r="U16" s="32"/>
      <c r="V16" s="32"/>
      <c r="W16" s="32"/>
      <c r="X16" s="32"/>
      <c r="Y16" s="32"/>
      <c r="Z16" s="32"/>
      <c r="AA16" s="32"/>
      <c r="AB16" s="32"/>
      <c r="AC16" s="32"/>
      <c r="AD16" s="32"/>
      <c r="AE16" s="32"/>
      <c r="AF16" s="32"/>
    </row>
    <row r="17" spans="1:32" ht="13.5" customHeight="1" x14ac:dyDescent="0.3">
      <c r="A17" s="61" t="s">
        <v>53</v>
      </c>
      <c r="B17" s="48"/>
      <c r="C17" s="49"/>
      <c r="D17" s="151" t="b">
        <v>0</v>
      </c>
      <c r="E17" s="137">
        <f>VLOOKUP(A17,[1]!Rates2020,$B$96,FALSE)</f>
        <v>1</v>
      </c>
      <c r="F17" s="51"/>
      <c r="G17" s="51"/>
      <c r="H17" s="51"/>
      <c r="I17" s="51"/>
      <c r="J17" s="51"/>
      <c r="K17" s="51"/>
      <c r="L17" s="51"/>
      <c r="M17" s="51"/>
      <c r="N17" s="52">
        <f>IF(D17=TRUE,(($B17/N$13*$E17)+($C17*$E17))*(1+$N$4),0)</f>
        <v>0</v>
      </c>
      <c r="O17" s="32"/>
      <c r="P17" s="32"/>
      <c r="Q17" s="32"/>
      <c r="R17" s="32"/>
      <c r="S17" s="32"/>
      <c r="T17" s="32"/>
      <c r="U17" s="32"/>
      <c r="V17" s="32"/>
      <c r="W17" s="32"/>
      <c r="X17" s="32"/>
      <c r="Y17" s="32"/>
      <c r="Z17" s="32"/>
      <c r="AA17" s="32"/>
      <c r="AB17" s="32"/>
      <c r="AC17" s="32"/>
      <c r="AD17" s="32"/>
      <c r="AE17" s="32"/>
      <c r="AF17" s="32"/>
    </row>
    <row r="18" spans="1:32" ht="13.5" customHeight="1" x14ac:dyDescent="0.3">
      <c r="A18" s="61" t="s">
        <v>86</v>
      </c>
      <c r="B18" s="155">
        <v>15</v>
      </c>
      <c r="C18" s="156">
        <v>1.25</v>
      </c>
      <c r="D18" s="157"/>
      <c r="E18" s="138">
        <f>VLOOKUP(A18,[1]!Rates2020,$B$96,FALSE)</f>
        <v>0.40850000000000003</v>
      </c>
      <c r="F18" s="12">
        <f t="shared" ref="F18:M39" si="2">(($B18/F$13*$E18)+($C18*$E18))</f>
        <v>0.81699999999999995</v>
      </c>
      <c r="G18" s="12">
        <f t="shared" si="2"/>
        <v>0.66381250000000003</v>
      </c>
      <c r="H18" s="12">
        <f t="shared" si="2"/>
        <v>0.61275000000000002</v>
      </c>
      <c r="I18" s="12">
        <f t="shared" si="2"/>
        <v>0.57189999999999996</v>
      </c>
      <c r="J18" s="12">
        <f t="shared" si="2"/>
        <v>0.55964499999999995</v>
      </c>
      <c r="K18" s="12">
        <f t="shared" si="2"/>
        <v>0.55147500000000005</v>
      </c>
      <c r="L18" s="12">
        <f t="shared" si="2"/>
        <v>0.54563928571428577</v>
      </c>
      <c r="M18" s="12">
        <f t="shared" si="2"/>
        <v>0.54126249999999998</v>
      </c>
      <c r="N18" s="158"/>
      <c r="O18" s="32" t="s">
        <v>122</v>
      </c>
      <c r="P18" s="32"/>
      <c r="Q18" s="32"/>
      <c r="R18" s="32"/>
      <c r="S18" s="32"/>
      <c r="T18" s="32"/>
      <c r="U18" s="32"/>
      <c r="V18" s="32"/>
      <c r="W18" s="32"/>
      <c r="X18" s="32"/>
      <c r="Y18" s="32"/>
      <c r="Z18" s="32"/>
      <c r="AA18" s="32"/>
      <c r="AB18" s="32"/>
      <c r="AC18" s="32"/>
      <c r="AD18" s="32"/>
      <c r="AE18" s="32"/>
      <c r="AF18" s="32"/>
    </row>
    <row r="19" spans="1:32" ht="13.5" customHeight="1" x14ac:dyDescent="0.3">
      <c r="A19" s="61" t="s">
        <v>98</v>
      </c>
      <c r="B19" s="36">
        <v>15</v>
      </c>
      <c r="C19" s="37"/>
      <c r="D19" s="38"/>
      <c r="E19" s="138">
        <f>VLOOKUP(A19,[1]!Rates2020,$B$96,FALSE)</f>
        <v>0.40850000000000003</v>
      </c>
      <c r="F19" s="12">
        <f t="shared" si="2"/>
        <v>0.30637500000000001</v>
      </c>
      <c r="G19" s="12">
        <f t="shared" si="2"/>
        <v>0.1531875</v>
      </c>
      <c r="H19" s="12">
        <f t="shared" si="2"/>
        <v>0.10212500000000001</v>
      </c>
      <c r="I19" s="12">
        <f t="shared" si="2"/>
        <v>6.1275000000000003E-2</v>
      </c>
      <c r="J19" s="12">
        <f t="shared" si="2"/>
        <v>4.9020000000000001E-2</v>
      </c>
      <c r="K19" s="12">
        <f t="shared" si="2"/>
        <v>4.0850000000000004E-2</v>
      </c>
      <c r="L19" s="12">
        <f t="shared" si="2"/>
        <v>3.501428571428572E-2</v>
      </c>
      <c r="M19" s="12">
        <f t="shared" si="2"/>
        <v>3.0637500000000002E-2</v>
      </c>
      <c r="N19" s="13"/>
      <c r="O19" s="32" t="s">
        <v>123</v>
      </c>
      <c r="P19" s="32"/>
      <c r="Q19" s="32"/>
      <c r="R19" s="32"/>
      <c r="S19" s="32"/>
      <c r="T19" s="32"/>
      <c r="U19" s="32"/>
      <c r="V19" s="32"/>
      <c r="W19" s="32"/>
      <c r="X19" s="32"/>
      <c r="Y19" s="32"/>
      <c r="Z19" s="32"/>
      <c r="AA19" s="32"/>
      <c r="AB19" s="32"/>
      <c r="AC19" s="32"/>
      <c r="AD19" s="32"/>
      <c r="AE19" s="32"/>
      <c r="AF19" s="32"/>
    </row>
    <row r="20" spans="1:32" ht="13.5" customHeight="1" x14ac:dyDescent="0.3">
      <c r="A20" s="61" t="s">
        <v>98</v>
      </c>
      <c r="B20" s="36">
        <v>5</v>
      </c>
      <c r="C20" s="37"/>
      <c r="D20" s="38"/>
      <c r="E20" s="138">
        <f>VLOOKUP(A20,[1]!Rates2020,$B$96,FALSE)</f>
        <v>0.40850000000000003</v>
      </c>
      <c r="F20" s="12">
        <f t="shared" si="2"/>
        <v>0.10212500000000001</v>
      </c>
      <c r="G20" s="12">
        <f t="shared" si="2"/>
        <v>5.1062500000000004E-2</v>
      </c>
      <c r="H20" s="12">
        <f t="shared" si="2"/>
        <v>3.4041666666666665E-2</v>
      </c>
      <c r="I20" s="12">
        <f t="shared" si="2"/>
        <v>2.0425000000000002E-2</v>
      </c>
      <c r="J20" s="12">
        <f t="shared" si="2"/>
        <v>1.634E-2</v>
      </c>
      <c r="K20" s="12">
        <f t="shared" si="2"/>
        <v>1.3616666666666668E-2</v>
      </c>
      <c r="L20" s="12">
        <f t="shared" si="2"/>
        <v>1.1671428571428572E-2</v>
      </c>
      <c r="M20" s="12">
        <f t="shared" si="2"/>
        <v>1.0212500000000001E-2</v>
      </c>
      <c r="N20" s="13"/>
      <c r="O20" s="32" t="s">
        <v>124</v>
      </c>
      <c r="P20" s="32"/>
      <c r="Q20" s="32"/>
      <c r="R20" s="32"/>
      <c r="S20" s="32"/>
      <c r="T20" s="32"/>
      <c r="U20" s="32"/>
      <c r="V20" s="32"/>
      <c r="W20" s="32"/>
      <c r="X20" s="32"/>
      <c r="Y20" s="32"/>
      <c r="Z20" s="32"/>
      <c r="AA20" s="32"/>
      <c r="AB20" s="32"/>
      <c r="AC20" s="32"/>
      <c r="AD20" s="32"/>
      <c r="AE20" s="32"/>
      <c r="AF20" s="32"/>
    </row>
    <row r="21" spans="1:32" ht="13.5" customHeight="1" x14ac:dyDescent="0.3">
      <c r="A21" s="61" t="s">
        <v>67</v>
      </c>
      <c r="B21" s="36">
        <v>15</v>
      </c>
      <c r="C21" s="37"/>
      <c r="D21" s="38"/>
      <c r="E21" s="138">
        <f>VLOOKUP(A21,[1]!Rates2020,$B$96,FALSE)</f>
        <v>0.65549999999999997</v>
      </c>
      <c r="F21" s="12">
        <f t="shared" si="2"/>
        <v>0.49162499999999998</v>
      </c>
      <c r="G21" s="12">
        <f t="shared" si="2"/>
        <v>0.24581249999999999</v>
      </c>
      <c r="H21" s="12">
        <f t="shared" si="2"/>
        <v>0.16387499999999999</v>
      </c>
      <c r="I21" s="12">
        <f t="shared" si="2"/>
        <v>9.8324999999999996E-2</v>
      </c>
      <c r="J21" s="12">
        <f t="shared" si="2"/>
        <v>7.8659999999999994E-2</v>
      </c>
      <c r="K21" s="12">
        <f t="shared" si="2"/>
        <v>6.5549999999999997E-2</v>
      </c>
      <c r="L21" s="12">
        <f t="shared" si="2"/>
        <v>5.6185714285714283E-2</v>
      </c>
      <c r="M21" s="12">
        <f t="shared" si="2"/>
        <v>4.9162499999999998E-2</v>
      </c>
      <c r="N21" s="13"/>
      <c r="O21" s="32" t="s">
        <v>126</v>
      </c>
      <c r="P21" s="32"/>
      <c r="Q21" s="32"/>
      <c r="R21" s="32"/>
      <c r="S21" s="32"/>
      <c r="T21" s="32"/>
      <c r="U21" s="32"/>
      <c r="V21" s="32"/>
      <c r="W21" s="32"/>
      <c r="X21" s="32"/>
      <c r="Y21" s="32"/>
      <c r="Z21" s="32"/>
      <c r="AA21" s="32"/>
      <c r="AB21" s="32"/>
      <c r="AC21" s="32"/>
      <c r="AD21" s="32"/>
      <c r="AE21" s="32"/>
      <c r="AF21" s="32"/>
    </row>
    <row r="22" spans="1:32" ht="13.5" customHeight="1" x14ac:dyDescent="0.3">
      <c r="A22" s="61" t="s">
        <v>98</v>
      </c>
      <c r="B22" s="36"/>
      <c r="C22" s="37">
        <v>1</v>
      </c>
      <c r="D22" s="38"/>
      <c r="E22" s="138">
        <f>VLOOKUP(A22,[1]!Rates2020,$B$96,FALSE)</f>
        <v>0.40850000000000003</v>
      </c>
      <c r="F22" s="12">
        <f t="shared" si="2"/>
        <v>0.40850000000000003</v>
      </c>
      <c r="G22" s="12">
        <f t="shared" si="2"/>
        <v>0.40850000000000003</v>
      </c>
      <c r="H22" s="12">
        <f t="shared" si="2"/>
        <v>0.40850000000000003</v>
      </c>
      <c r="I22" s="12">
        <f t="shared" si="2"/>
        <v>0.40850000000000003</v>
      </c>
      <c r="J22" s="12">
        <f t="shared" si="2"/>
        <v>0.40850000000000003</v>
      </c>
      <c r="K22" s="12">
        <f t="shared" si="2"/>
        <v>0.40850000000000003</v>
      </c>
      <c r="L22" s="12">
        <f t="shared" si="2"/>
        <v>0.40850000000000003</v>
      </c>
      <c r="M22" s="12">
        <f t="shared" si="2"/>
        <v>0.40850000000000003</v>
      </c>
      <c r="N22" s="13"/>
      <c r="O22" s="32" t="s">
        <v>125</v>
      </c>
      <c r="P22" s="32"/>
      <c r="Q22" s="32"/>
      <c r="R22" s="32"/>
      <c r="S22" s="32"/>
      <c r="T22" s="32"/>
      <c r="U22" s="32"/>
      <c r="V22" s="32"/>
      <c r="W22" s="32"/>
      <c r="X22" s="32"/>
      <c r="Y22" s="32"/>
      <c r="Z22" s="32"/>
      <c r="AA22" s="32"/>
      <c r="AB22" s="32"/>
      <c r="AC22" s="32"/>
      <c r="AD22" s="32"/>
      <c r="AE22" s="32"/>
      <c r="AF22" s="32"/>
    </row>
    <row r="23" spans="1:32" ht="13.5" customHeight="1" x14ac:dyDescent="0.3">
      <c r="A23" s="61" t="s">
        <v>67</v>
      </c>
      <c r="B23" s="36">
        <v>15</v>
      </c>
      <c r="C23" s="37"/>
      <c r="D23" s="38"/>
      <c r="E23" s="138">
        <f>VLOOKUP(A23,[1]!Rates2020,$B$96,FALSE)</f>
        <v>0.65549999999999997</v>
      </c>
      <c r="F23" s="12">
        <f t="shared" si="2"/>
        <v>0.49162499999999998</v>
      </c>
      <c r="G23" s="12">
        <f t="shared" si="2"/>
        <v>0.24581249999999999</v>
      </c>
      <c r="H23" s="12">
        <f t="shared" si="2"/>
        <v>0.16387499999999999</v>
      </c>
      <c r="I23" s="12">
        <f t="shared" si="2"/>
        <v>9.8324999999999996E-2</v>
      </c>
      <c r="J23" s="12">
        <f t="shared" si="2"/>
        <v>7.8659999999999994E-2</v>
      </c>
      <c r="K23" s="12">
        <f t="shared" si="2"/>
        <v>6.5549999999999997E-2</v>
      </c>
      <c r="L23" s="12">
        <f t="shared" si="2"/>
        <v>5.6185714285714283E-2</v>
      </c>
      <c r="M23" s="12">
        <f t="shared" si="2"/>
        <v>4.9162499999999998E-2</v>
      </c>
      <c r="N23" s="13"/>
      <c r="O23" s="32" t="s">
        <v>127</v>
      </c>
      <c r="P23" s="32"/>
      <c r="Q23" s="32"/>
      <c r="R23" s="32"/>
      <c r="S23" s="32"/>
      <c r="T23" s="32"/>
      <c r="U23" s="32"/>
      <c r="V23" s="32"/>
      <c r="W23" s="32"/>
      <c r="X23" s="32"/>
      <c r="Y23" s="32"/>
      <c r="Z23" s="32"/>
      <c r="AA23" s="32"/>
      <c r="AB23" s="32"/>
      <c r="AC23" s="32"/>
      <c r="AD23" s="32"/>
      <c r="AE23" s="32"/>
      <c r="AF23" s="32"/>
    </row>
    <row r="24" spans="1:32" ht="13.5" customHeight="1" x14ac:dyDescent="0.3">
      <c r="A24" s="61" t="s">
        <v>60</v>
      </c>
      <c r="B24" s="36">
        <v>15</v>
      </c>
      <c r="C24" s="37"/>
      <c r="D24" s="38"/>
      <c r="E24" s="138">
        <f>VLOOKUP(A24,[1]!Rates2020,$B$96,FALSE)</f>
        <v>0.40850000000000003</v>
      </c>
      <c r="F24" s="12">
        <f t="shared" si="2"/>
        <v>0.30637500000000001</v>
      </c>
      <c r="G24" s="12">
        <f t="shared" si="2"/>
        <v>0.1531875</v>
      </c>
      <c r="H24" s="12">
        <f t="shared" si="2"/>
        <v>0.10212500000000001</v>
      </c>
      <c r="I24" s="12">
        <f t="shared" si="2"/>
        <v>6.1275000000000003E-2</v>
      </c>
      <c r="J24" s="12">
        <f t="shared" si="2"/>
        <v>4.9020000000000001E-2</v>
      </c>
      <c r="K24" s="12">
        <f t="shared" si="2"/>
        <v>4.0850000000000004E-2</v>
      </c>
      <c r="L24" s="12">
        <f t="shared" si="2"/>
        <v>3.501428571428572E-2</v>
      </c>
      <c r="M24" s="12">
        <f t="shared" si="2"/>
        <v>3.0637500000000002E-2</v>
      </c>
      <c r="N24" s="13"/>
      <c r="O24" s="117" t="s">
        <v>128</v>
      </c>
      <c r="P24" s="107"/>
      <c r="Q24" s="107"/>
      <c r="R24" s="32"/>
      <c r="S24" s="32"/>
      <c r="T24" s="32"/>
      <c r="U24" s="32"/>
      <c r="V24" s="32"/>
      <c r="W24" s="32"/>
      <c r="X24" s="32"/>
      <c r="Y24" s="32"/>
      <c r="Z24" s="32"/>
      <c r="AA24" s="32"/>
      <c r="AB24" s="32"/>
      <c r="AC24" s="32"/>
      <c r="AD24" s="32"/>
      <c r="AE24" s="32"/>
      <c r="AF24" s="32"/>
    </row>
    <row r="25" spans="1:32" ht="13.5" customHeight="1" x14ac:dyDescent="0.3">
      <c r="A25" s="61" t="s">
        <v>67</v>
      </c>
      <c r="B25" s="36">
        <v>15</v>
      </c>
      <c r="C25" s="37"/>
      <c r="D25" s="38"/>
      <c r="E25" s="138">
        <f>VLOOKUP(A25,[1]!Rates2020,$B$96,FALSE)</f>
        <v>0.65549999999999997</v>
      </c>
      <c r="F25" s="12">
        <f t="shared" si="2"/>
        <v>0.49162499999999998</v>
      </c>
      <c r="G25" s="12">
        <f t="shared" si="2"/>
        <v>0.24581249999999999</v>
      </c>
      <c r="H25" s="12">
        <f t="shared" si="2"/>
        <v>0.16387499999999999</v>
      </c>
      <c r="I25" s="12">
        <f t="shared" si="2"/>
        <v>9.8324999999999996E-2</v>
      </c>
      <c r="J25" s="12">
        <f t="shared" si="2"/>
        <v>7.8659999999999994E-2</v>
      </c>
      <c r="K25" s="12">
        <f t="shared" si="2"/>
        <v>6.5549999999999997E-2</v>
      </c>
      <c r="L25" s="12">
        <f t="shared" si="2"/>
        <v>5.6185714285714283E-2</v>
      </c>
      <c r="M25" s="12">
        <f t="shared" si="2"/>
        <v>4.9162499999999998E-2</v>
      </c>
      <c r="N25" s="13"/>
      <c r="O25" s="32" t="s">
        <v>129</v>
      </c>
      <c r="P25" s="32"/>
      <c r="Q25" s="118"/>
      <c r="R25" s="32"/>
      <c r="S25" s="32"/>
      <c r="T25" s="32"/>
      <c r="U25" s="32"/>
      <c r="V25" s="32"/>
      <c r="W25" s="32"/>
      <c r="X25" s="32"/>
      <c r="Y25" s="32"/>
      <c r="Z25" s="32"/>
      <c r="AA25" s="32"/>
      <c r="AB25" s="32"/>
      <c r="AC25" s="32"/>
      <c r="AD25" s="32"/>
      <c r="AE25" s="32"/>
      <c r="AF25" s="32"/>
    </row>
    <row r="26" spans="1:32" ht="13.5" customHeight="1" x14ac:dyDescent="0.3">
      <c r="A26" s="61" t="s">
        <v>60</v>
      </c>
      <c r="B26" s="36"/>
      <c r="C26" s="37">
        <v>8</v>
      </c>
      <c r="D26" s="38"/>
      <c r="E26" s="138">
        <f>VLOOKUP(A26,[1]!Rates2020,$B$96,FALSE)</f>
        <v>0.40850000000000003</v>
      </c>
      <c r="F26" s="12">
        <f t="shared" si="2"/>
        <v>3.2680000000000002</v>
      </c>
      <c r="G26" s="12">
        <f t="shared" si="2"/>
        <v>3.2680000000000002</v>
      </c>
      <c r="H26" s="12">
        <f t="shared" si="2"/>
        <v>3.2680000000000002</v>
      </c>
      <c r="I26" s="12">
        <f t="shared" si="2"/>
        <v>3.2680000000000002</v>
      </c>
      <c r="J26" s="12">
        <f t="shared" si="2"/>
        <v>3.2680000000000002</v>
      </c>
      <c r="K26" s="12">
        <f t="shared" si="2"/>
        <v>3.2680000000000002</v>
      </c>
      <c r="L26" s="12">
        <f t="shared" si="2"/>
        <v>3.2680000000000002</v>
      </c>
      <c r="M26" s="12">
        <f t="shared" si="2"/>
        <v>3.2680000000000002</v>
      </c>
      <c r="N26" s="13"/>
      <c r="O26" s="32" t="s">
        <v>130</v>
      </c>
      <c r="P26" s="32"/>
      <c r="Q26" s="32"/>
      <c r="R26" s="32"/>
      <c r="S26" s="32"/>
      <c r="T26" s="32"/>
      <c r="U26" s="32"/>
      <c r="V26" s="32"/>
      <c r="W26" s="32"/>
      <c r="X26" s="32"/>
      <c r="Y26" s="32"/>
      <c r="Z26" s="32"/>
      <c r="AA26" s="32"/>
      <c r="AB26" s="32"/>
      <c r="AC26" s="32"/>
      <c r="AD26" s="32"/>
      <c r="AE26" s="32"/>
      <c r="AF26" s="32"/>
    </row>
    <row r="27" spans="1:32" ht="13.5" customHeight="1" x14ac:dyDescent="0.3">
      <c r="A27" s="61" t="s">
        <v>67</v>
      </c>
      <c r="B27" s="36"/>
      <c r="C27" s="37">
        <v>15</v>
      </c>
      <c r="D27" s="38"/>
      <c r="E27" s="138">
        <f>VLOOKUP(A27,[1]!Rates2020,$B$96,FALSE)</f>
        <v>0.65549999999999997</v>
      </c>
      <c r="F27" s="12">
        <f t="shared" si="2"/>
        <v>9.8324999999999996</v>
      </c>
      <c r="G27" s="12">
        <f t="shared" si="2"/>
        <v>9.8324999999999996</v>
      </c>
      <c r="H27" s="12">
        <f t="shared" si="2"/>
        <v>9.8324999999999996</v>
      </c>
      <c r="I27" s="12">
        <f t="shared" si="2"/>
        <v>9.8324999999999996</v>
      </c>
      <c r="J27" s="12">
        <f t="shared" si="2"/>
        <v>9.8324999999999996</v>
      </c>
      <c r="K27" s="12">
        <f t="shared" si="2"/>
        <v>9.8324999999999996</v>
      </c>
      <c r="L27" s="12">
        <f t="shared" si="2"/>
        <v>9.8324999999999996</v>
      </c>
      <c r="M27" s="12">
        <f t="shared" si="2"/>
        <v>9.8324999999999996</v>
      </c>
      <c r="N27" s="13"/>
      <c r="O27" s="32" t="s">
        <v>131</v>
      </c>
      <c r="P27" s="32"/>
      <c r="Q27" s="32"/>
      <c r="R27" s="32"/>
      <c r="S27" s="32"/>
      <c r="T27" s="32"/>
      <c r="U27" s="32"/>
      <c r="V27" s="32"/>
      <c r="W27" s="32"/>
      <c r="X27" s="32"/>
      <c r="Y27" s="32"/>
      <c r="Z27" s="32"/>
      <c r="AA27" s="32"/>
      <c r="AB27" s="32"/>
      <c r="AC27" s="32"/>
      <c r="AD27" s="32"/>
      <c r="AE27" s="32"/>
      <c r="AF27" s="32"/>
    </row>
    <row r="28" spans="1:32" ht="13.5" customHeight="1" x14ac:dyDescent="0.3">
      <c r="A28" s="61" t="s">
        <v>103</v>
      </c>
      <c r="B28" s="36">
        <v>2</v>
      </c>
      <c r="C28" s="37">
        <v>1</v>
      </c>
      <c r="D28" s="38"/>
      <c r="E28" s="138">
        <f>VLOOKUP(A28,[1]!Rates2020,$B$96,FALSE)</f>
        <v>0.3795</v>
      </c>
      <c r="F28" s="12">
        <f t="shared" si="2"/>
        <v>0.41744999999999999</v>
      </c>
      <c r="G28" s="12">
        <f t="shared" si="2"/>
        <v>0.39847500000000002</v>
      </c>
      <c r="H28" s="12">
        <f t="shared" si="2"/>
        <v>0.39215</v>
      </c>
      <c r="I28" s="12">
        <f t="shared" si="2"/>
        <v>0.38708999999999999</v>
      </c>
      <c r="J28" s="12">
        <f t="shared" si="2"/>
        <v>0.38557200000000003</v>
      </c>
      <c r="K28" s="12">
        <f t="shared" si="2"/>
        <v>0.38456000000000001</v>
      </c>
      <c r="L28" s="12">
        <f t="shared" si="2"/>
        <v>0.38383714285714288</v>
      </c>
      <c r="M28" s="12">
        <f t="shared" si="2"/>
        <v>0.383295</v>
      </c>
      <c r="N28" s="13"/>
      <c r="O28" s="32" t="s">
        <v>132</v>
      </c>
      <c r="P28" s="32"/>
      <c r="Q28" s="32"/>
      <c r="R28" s="32"/>
      <c r="S28" s="32"/>
      <c r="T28" s="32"/>
      <c r="U28" s="32"/>
      <c r="V28" s="32"/>
      <c r="W28" s="32"/>
      <c r="X28" s="32"/>
      <c r="Y28" s="32"/>
      <c r="Z28" s="32"/>
      <c r="AA28" s="32"/>
      <c r="AB28" s="32"/>
      <c r="AC28" s="32"/>
      <c r="AD28" s="32"/>
      <c r="AE28" s="32"/>
      <c r="AF28" s="32"/>
    </row>
    <row r="29" spans="1:32" ht="13.5" customHeight="1" x14ac:dyDescent="0.3">
      <c r="A29" s="61" t="s">
        <v>67</v>
      </c>
      <c r="B29" s="36">
        <v>30</v>
      </c>
      <c r="C29" s="37"/>
      <c r="D29" s="38"/>
      <c r="E29" s="138">
        <f>VLOOKUP(A29,[1]!Rates2020,$B$96,FALSE)</f>
        <v>0.65549999999999997</v>
      </c>
      <c r="F29" s="12">
        <f t="shared" si="2"/>
        <v>0.98324999999999996</v>
      </c>
      <c r="G29" s="12">
        <f t="shared" si="2"/>
        <v>0.49162499999999998</v>
      </c>
      <c r="H29" s="12">
        <f t="shared" si="2"/>
        <v>0.32774999999999999</v>
      </c>
      <c r="I29" s="12">
        <f t="shared" si="2"/>
        <v>0.19664999999999999</v>
      </c>
      <c r="J29" s="12">
        <f t="shared" si="2"/>
        <v>0.15731999999999999</v>
      </c>
      <c r="K29" s="12">
        <f t="shared" si="2"/>
        <v>0.13109999999999999</v>
      </c>
      <c r="L29" s="12">
        <f t="shared" si="2"/>
        <v>0.11237142857142857</v>
      </c>
      <c r="M29" s="12">
        <f t="shared" si="2"/>
        <v>9.8324999999999996E-2</v>
      </c>
      <c r="N29" s="13"/>
      <c r="O29" s="32" t="s">
        <v>133</v>
      </c>
      <c r="P29" s="32"/>
      <c r="Q29" s="32"/>
      <c r="R29" s="32"/>
      <c r="S29" s="32"/>
      <c r="T29" s="32"/>
      <c r="U29" s="32"/>
      <c r="V29" s="32"/>
      <c r="W29" s="32"/>
      <c r="X29" s="32"/>
      <c r="Y29" s="32"/>
      <c r="Z29" s="32"/>
      <c r="AA29" s="32"/>
      <c r="AB29" s="32"/>
      <c r="AC29" s="32"/>
      <c r="AD29" s="32"/>
      <c r="AE29" s="32"/>
      <c r="AF29" s="32"/>
    </row>
    <row r="30" spans="1:32" ht="13.5" customHeight="1" x14ac:dyDescent="0.3">
      <c r="A30" s="61" t="s">
        <v>64</v>
      </c>
      <c r="B30" s="36"/>
      <c r="C30" s="37"/>
      <c r="D30" s="38"/>
      <c r="E30" s="138">
        <f>VLOOKUP(A30,[1]!Rates2020,$B$96,FALSE)</f>
        <v>0</v>
      </c>
      <c r="F30" s="12">
        <f t="shared" si="2"/>
        <v>0</v>
      </c>
      <c r="G30" s="12">
        <f t="shared" si="2"/>
        <v>0</v>
      </c>
      <c r="H30" s="12">
        <f t="shared" si="2"/>
        <v>0</v>
      </c>
      <c r="I30" s="12">
        <f t="shared" si="2"/>
        <v>0</v>
      </c>
      <c r="J30" s="12">
        <f t="shared" si="2"/>
        <v>0</v>
      </c>
      <c r="K30" s="12">
        <f t="shared" si="2"/>
        <v>0</v>
      </c>
      <c r="L30" s="12">
        <f t="shared" si="2"/>
        <v>0</v>
      </c>
      <c r="M30" s="12">
        <f t="shared" si="2"/>
        <v>0</v>
      </c>
      <c r="N30" s="13"/>
      <c r="O30" s="32"/>
      <c r="P30" s="32"/>
      <c r="Q30" s="32"/>
      <c r="R30" s="32"/>
      <c r="S30" s="32"/>
      <c r="T30" s="32"/>
      <c r="U30" s="32"/>
      <c r="V30" s="32"/>
      <c r="W30" s="32"/>
      <c r="X30" s="32"/>
      <c r="Y30" s="32"/>
      <c r="Z30" s="32"/>
      <c r="AA30" s="32"/>
      <c r="AB30" s="32"/>
      <c r="AC30" s="32"/>
      <c r="AD30" s="32"/>
      <c r="AE30" s="32"/>
      <c r="AF30" s="32"/>
    </row>
    <row r="31" spans="1:32" ht="13.5" customHeight="1" x14ac:dyDescent="0.3">
      <c r="A31" s="61" t="s">
        <v>60</v>
      </c>
      <c r="B31" s="36"/>
      <c r="C31" s="37"/>
      <c r="D31" s="38"/>
      <c r="E31" s="138">
        <f>VLOOKUP(A31,[1]!Rates2020,$B$96,FALSE)</f>
        <v>0.40850000000000003</v>
      </c>
      <c r="F31" s="12">
        <f t="shared" si="2"/>
        <v>0</v>
      </c>
      <c r="G31" s="12">
        <f t="shared" si="2"/>
        <v>0</v>
      </c>
      <c r="H31" s="12">
        <f t="shared" si="2"/>
        <v>0</v>
      </c>
      <c r="I31" s="12">
        <f t="shared" si="2"/>
        <v>0</v>
      </c>
      <c r="J31" s="12">
        <f t="shared" si="2"/>
        <v>0</v>
      </c>
      <c r="K31" s="12">
        <f t="shared" si="2"/>
        <v>0</v>
      </c>
      <c r="L31" s="12">
        <f t="shared" si="2"/>
        <v>0</v>
      </c>
      <c r="M31" s="12">
        <f t="shared" si="2"/>
        <v>0</v>
      </c>
      <c r="N31" s="13"/>
      <c r="O31" s="32"/>
      <c r="P31" s="32"/>
      <c r="Q31" s="32"/>
      <c r="R31" s="32"/>
      <c r="S31" s="32"/>
      <c r="T31" s="32"/>
      <c r="U31" s="32"/>
      <c r="V31" s="32"/>
      <c r="W31" s="32"/>
      <c r="X31" s="32"/>
      <c r="Y31" s="32"/>
      <c r="Z31" s="32"/>
      <c r="AA31" s="32"/>
      <c r="AB31" s="32"/>
      <c r="AC31" s="32"/>
      <c r="AD31" s="32"/>
      <c r="AE31" s="32"/>
      <c r="AF31" s="32"/>
    </row>
    <row r="32" spans="1:32" ht="13.5" customHeight="1" x14ac:dyDescent="0.3">
      <c r="A32" s="61" t="s">
        <v>68</v>
      </c>
      <c r="B32" s="36"/>
      <c r="C32" s="37"/>
      <c r="D32" s="38"/>
      <c r="E32" s="138">
        <f>VLOOKUP(A32,[1]!Rates2020,$B$96,FALSE)</f>
        <v>0.40850000000000003</v>
      </c>
      <c r="F32" s="12">
        <f t="shared" si="2"/>
        <v>0</v>
      </c>
      <c r="G32" s="12">
        <f t="shared" si="2"/>
        <v>0</v>
      </c>
      <c r="H32" s="12">
        <f t="shared" si="2"/>
        <v>0</v>
      </c>
      <c r="I32" s="12">
        <f t="shared" si="2"/>
        <v>0</v>
      </c>
      <c r="J32" s="12">
        <f t="shared" si="2"/>
        <v>0</v>
      </c>
      <c r="K32" s="12">
        <f t="shared" si="2"/>
        <v>0</v>
      </c>
      <c r="L32" s="12">
        <f t="shared" si="2"/>
        <v>0</v>
      </c>
      <c r="M32" s="12">
        <f t="shared" si="2"/>
        <v>0</v>
      </c>
      <c r="N32" s="13"/>
      <c r="O32" s="32"/>
      <c r="P32" s="32"/>
      <c r="Q32" s="32"/>
      <c r="R32" s="32"/>
      <c r="S32" s="32"/>
      <c r="T32" s="32"/>
      <c r="U32" s="32"/>
      <c r="V32" s="32"/>
      <c r="W32" s="32"/>
      <c r="X32" s="32"/>
      <c r="Y32" s="32"/>
      <c r="Z32" s="32"/>
      <c r="AA32" s="32"/>
      <c r="AB32" s="32"/>
      <c r="AC32" s="32"/>
      <c r="AD32" s="32"/>
      <c r="AE32" s="32"/>
      <c r="AF32" s="32"/>
    </row>
    <row r="33" spans="1:32" ht="13.5" customHeight="1" x14ac:dyDescent="0.3">
      <c r="A33" s="61" t="s">
        <v>69</v>
      </c>
      <c r="B33" s="36"/>
      <c r="C33" s="37"/>
      <c r="D33" s="38"/>
      <c r="E33" s="138">
        <f>VLOOKUP(A33,[1]!Rates2020,$B$96,FALSE)</f>
        <v>0.40850000000000003</v>
      </c>
      <c r="F33" s="12">
        <f t="shared" si="2"/>
        <v>0</v>
      </c>
      <c r="G33" s="12">
        <f t="shared" si="2"/>
        <v>0</v>
      </c>
      <c r="H33" s="12">
        <f t="shared" si="2"/>
        <v>0</v>
      </c>
      <c r="I33" s="12">
        <f t="shared" si="2"/>
        <v>0</v>
      </c>
      <c r="J33" s="12">
        <f t="shared" si="2"/>
        <v>0</v>
      </c>
      <c r="K33" s="12">
        <f t="shared" si="2"/>
        <v>0</v>
      </c>
      <c r="L33" s="12">
        <f t="shared" si="2"/>
        <v>0</v>
      </c>
      <c r="M33" s="12">
        <f t="shared" si="2"/>
        <v>0</v>
      </c>
      <c r="N33" s="13"/>
      <c r="O33" s="32"/>
      <c r="P33" s="32"/>
      <c r="Q33" s="32"/>
      <c r="R33" s="32"/>
      <c r="S33" s="32"/>
      <c r="T33" s="32"/>
      <c r="U33" s="32"/>
      <c r="V33" s="32"/>
      <c r="W33" s="32"/>
      <c r="X33" s="32"/>
      <c r="Y33" s="32"/>
      <c r="Z33" s="32"/>
      <c r="AA33" s="32"/>
      <c r="AB33" s="32"/>
      <c r="AC33" s="32"/>
      <c r="AD33" s="32"/>
      <c r="AE33" s="32"/>
      <c r="AF33" s="32"/>
    </row>
    <row r="34" spans="1:32" ht="13.5" customHeight="1" x14ac:dyDescent="0.3">
      <c r="A34" s="61" t="s">
        <v>90</v>
      </c>
      <c r="B34" s="36"/>
      <c r="C34" s="37"/>
      <c r="D34" s="38"/>
      <c r="E34" s="138">
        <f>VLOOKUP(A34,[1]!Rates2020,$B$96,FALSE)</f>
        <v>0.40850000000000003</v>
      </c>
      <c r="F34" s="12">
        <f t="shared" si="2"/>
        <v>0</v>
      </c>
      <c r="G34" s="12">
        <f t="shared" si="2"/>
        <v>0</v>
      </c>
      <c r="H34" s="12">
        <f t="shared" si="2"/>
        <v>0</v>
      </c>
      <c r="I34" s="12">
        <f t="shared" si="2"/>
        <v>0</v>
      </c>
      <c r="J34" s="12">
        <f t="shared" si="2"/>
        <v>0</v>
      </c>
      <c r="K34" s="12">
        <f t="shared" si="2"/>
        <v>0</v>
      </c>
      <c r="L34" s="12">
        <f t="shared" si="2"/>
        <v>0</v>
      </c>
      <c r="M34" s="12">
        <f t="shared" si="2"/>
        <v>0</v>
      </c>
      <c r="N34" s="13"/>
      <c r="O34" s="32"/>
      <c r="P34" s="32"/>
      <c r="Q34" s="32"/>
      <c r="R34" s="32"/>
      <c r="S34" s="32"/>
      <c r="T34" s="32"/>
      <c r="U34" s="32"/>
      <c r="V34" s="32"/>
      <c r="W34" s="32"/>
      <c r="X34" s="32"/>
      <c r="Y34" s="32"/>
      <c r="Z34" s="32"/>
      <c r="AA34" s="32"/>
      <c r="AB34" s="32"/>
      <c r="AC34" s="32"/>
      <c r="AD34" s="32"/>
      <c r="AE34" s="32"/>
      <c r="AF34" s="32"/>
    </row>
    <row r="35" spans="1:32" ht="13.5" customHeight="1" x14ac:dyDescent="0.3">
      <c r="A35" s="61" t="s">
        <v>114</v>
      </c>
      <c r="B35" s="36"/>
      <c r="C35" s="37"/>
      <c r="D35" s="38"/>
      <c r="E35" s="138">
        <f>VLOOKUP(A35,[1]!Rates2020,$B$96,FALSE)</f>
        <v>0.40850000000000003</v>
      </c>
      <c r="F35" s="12">
        <f t="shared" si="2"/>
        <v>0</v>
      </c>
      <c r="G35" s="12">
        <f t="shared" si="2"/>
        <v>0</v>
      </c>
      <c r="H35" s="12">
        <f t="shared" si="2"/>
        <v>0</v>
      </c>
      <c r="I35" s="12">
        <f t="shared" si="2"/>
        <v>0</v>
      </c>
      <c r="J35" s="12">
        <f t="shared" si="2"/>
        <v>0</v>
      </c>
      <c r="K35" s="12">
        <f t="shared" si="2"/>
        <v>0</v>
      </c>
      <c r="L35" s="12">
        <f t="shared" si="2"/>
        <v>0</v>
      </c>
      <c r="M35" s="12">
        <f t="shared" si="2"/>
        <v>0</v>
      </c>
      <c r="N35" s="13"/>
      <c r="O35" s="32"/>
      <c r="P35" s="32"/>
      <c r="Q35" s="32"/>
      <c r="R35" s="32"/>
      <c r="S35" s="32"/>
      <c r="T35" s="32"/>
      <c r="U35" s="32"/>
      <c r="V35" s="32"/>
      <c r="W35" s="32"/>
      <c r="X35" s="32"/>
      <c r="Y35" s="32"/>
      <c r="Z35" s="32"/>
      <c r="AA35" s="32"/>
      <c r="AB35" s="32"/>
      <c r="AC35" s="32"/>
      <c r="AD35" s="32"/>
      <c r="AE35" s="32"/>
      <c r="AF35" s="32"/>
    </row>
    <row r="36" spans="1:32" ht="13.5" customHeight="1" x14ac:dyDescent="0.3">
      <c r="A36" s="61" t="s">
        <v>89</v>
      </c>
      <c r="B36" s="36"/>
      <c r="C36" s="37"/>
      <c r="D36" s="38"/>
      <c r="E36" s="138">
        <f>VLOOKUP(A36,[1]!Rates2020,$B$96,FALSE)</f>
        <v>0.40850000000000003</v>
      </c>
      <c r="F36" s="12">
        <f t="shared" si="2"/>
        <v>0</v>
      </c>
      <c r="G36" s="12">
        <f t="shared" si="2"/>
        <v>0</v>
      </c>
      <c r="H36" s="12">
        <f t="shared" si="2"/>
        <v>0</v>
      </c>
      <c r="I36" s="12">
        <f t="shared" si="2"/>
        <v>0</v>
      </c>
      <c r="J36" s="12">
        <f t="shared" si="2"/>
        <v>0</v>
      </c>
      <c r="K36" s="12">
        <f t="shared" si="2"/>
        <v>0</v>
      </c>
      <c r="L36" s="12">
        <f t="shared" si="2"/>
        <v>0</v>
      </c>
      <c r="M36" s="12">
        <f t="shared" si="2"/>
        <v>0</v>
      </c>
      <c r="N36" s="13"/>
      <c r="O36" s="32"/>
      <c r="P36" s="32"/>
      <c r="Q36" s="32"/>
      <c r="R36" s="32"/>
      <c r="S36" s="32"/>
      <c r="T36" s="32"/>
      <c r="U36" s="32"/>
      <c r="V36" s="32"/>
      <c r="W36" s="32"/>
      <c r="X36" s="32"/>
      <c r="Y36" s="32"/>
      <c r="Z36" s="32"/>
      <c r="AA36" s="32"/>
      <c r="AB36" s="32"/>
      <c r="AC36" s="32"/>
      <c r="AD36" s="32"/>
      <c r="AE36" s="32"/>
      <c r="AF36" s="32"/>
    </row>
    <row r="37" spans="1:32" ht="13.5" customHeight="1" x14ac:dyDescent="0.3">
      <c r="A37" s="61" t="s">
        <v>79</v>
      </c>
      <c r="B37" s="36"/>
      <c r="C37" s="37"/>
      <c r="D37" s="38"/>
      <c r="E37" s="138">
        <f>VLOOKUP(A37,[1]!Rates2020,$B$96,FALSE)</f>
        <v>0.40850000000000003</v>
      </c>
      <c r="F37" s="12">
        <f t="shared" si="2"/>
        <v>0</v>
      </c>
      <c r="G37" s="12">
        <f t="shared" si="2"/>
        <v>0</v>
      </c>
      <c r="H37" s="12">
        <f t="shared" si="2"/>
        <v>0</v>
      </c>
      <c r="I37" s="12">
        <f t="shared" si="2"/>
        <v>0</v>
      </c>
      <c r="J37" s="12">
        <f t="shared" si="2"/>
        <v>0</v>
      </c>
      <c r="K37" s="12">
        <f t="shared" si="2"/>
        <v>0</v>
      </c>
      <c r="L37" s="12">
        <f t="shared" si="2"/>
        <v>0</v>
      </c>
      <c r="M37" s="12">
        <f t="shared" si="2"/>
        <v>0</v>
      </c>
      <c r="N37" s="13"/>
      <c r="O37" s="32"/>
      <c r="P37" s="32"/>
      <c r="Q37" s="32"/>
      <c r="R37" s="32"/>
      <c r="S37" s="32"/>
      <c r="T37" s="32"/>
      <c r="U37" s="32"/>
      <c r="V37" s="32"/>
      <c r="W37" s="32"/>
      <c r="X37" s="32"/>
      <c r="Y37" s="32"/>
      <c r="Z37" s="32"/>
      <c r="AA37" s="32"/>
      <c r="AB37" s="32"/>
      <c r="AC37" s="32"/>
      <c r="AD37" s="32"/>
      <c r="AE37" s="32"/>
      <c r="AF37" s="32"/>
    </row>
    <row r="38" spans="1:32" ht="13.5" customHeight="1" x14ac:dyDescent="0.3">
      <c r="A38" s="61" t="s">
        <v>102</v>
      </c>
      <c r="B38" s="36"/>
      <c r="C38" s="37"/>
      <c r="D38" s="38"/>
      <c r="E38" s="138">
        <f>VLOOKUP(A38,[1]!Rates2020,$B$96,FALSE)</f>
        <v>0.65549999999999997</v>
      </c>
      <c r="F38" s="12">
        <f t="shared" si="2"/>
        <v>0</v>
      </c>
      <c r="G38" s="12">
        <f t="shared" si="2"/>
        <v>0</v>
      </c>
      <c r="H38" s="12">
        <f t="shared" si="2"/>
        <v>0</v>
      </c>
      <c r="I38" s="12">
        <f t="shared" si="2"/>
        <v>0</v>
      </c>
      <c r="J38" s="12">
        <f t="shared" si="2"/>
        <v>0</v>
      </c>
      <c r="K38" s="12">
        <f t="shared" si="2"/>
        <v>0</v>
      </c>
      <c r="L38" s="12">
        <f t="shared" si="2"/>
        <v>0</v>
      </c>
      <c r="M38" s="12">
        <f t="shared" si="2"/>
        <v>0</v>
      </c>
      <c r="N38" s="13"/>
      <c r="O38" s="32"/>
      <c r="P38" s="32"/>
      <c r="Q38" s="32"/>
      <c r="R38" s="32"/>
      <c r="S38" s="32"/>
      <c r="T38" s="32"/>
      <c r="U38" s="32"/>
      <c r="V38" s="32"/>
      <c r="W38" s="32"/>
      <c r="X38" s="32"/>
      <c r="Y38" s="32"/>
      <c r="Z38" s="32"/>
      <c r="AA38" s="32"/>
      <c r="AB38" s="32"/>
      <c r="AC38" s="32"/>
      <c r="AD38" s="32"/>
      <c r="AE38" s="32"/>
      <c r="AF38" s="32"/>
    </row>
    <row r="39" spans="1:32" ht="13.5" customHeight="1" thickBot="1" x14ac:dyDescent="0.35">
      <c r="A39" s="61" t="s">
        <v>103</v>
      </c>
      <c r="B39" s="36"/>
      <c r="C39" s="37"/>
      <c r="D39" s="38"/>
      <c r="E39" s="138">
        <f>VLOOKUP(A39,[1]!Rates2020,$B$96,FALSE)</f>
        <v>0.3795</v>
      </c>
      <c r="F39" s="12">
        <f t="shared" si="2"/>
        <v>0</v>
      </c>
      <c r="G39" s="12">
        <f t="shared" si="2"/>
        <v>0</v>
      </c>
      <c r="H39" s="12">
        <f t="shared" si="2"/>
        <v>0</v>
      </c>
      <c r="I39" s="12">
        <f t="shared" si="2"/>
        <v>0</v>
      </c>
      <c r="J39" s="12">
        <f t="shared" si="2"/>
        <v>0</v>
      </c>
      <c r="K39" s="12">
        <f t="shared" si="2"/>
        <v>0</v>
      </c>
      <c r="L39" s="12">
        <f t="shared" si="2"/>
        <v>0</v>
      </c>
      <c r="M39" s="12">
        <f t="shared" si="2"/>
        <v>0</v>
      </c>
      <c r="N39" s="13"/>
      <c r="O39" s="32"/>
      <c r="P39" s="32"/>
      <c r="Q39" s="32"/>
      <c r="R39" s="32"/>
      <c r="S39" s="32"/>
      <c r="T39" s="32"/>
      <c r="U39" s="32"/>
      <c r="V39" s="32"/>
      <c r="W39" s="32"/>
      <c r="X39" s="32"/>
      <c r="Y39" s="32"/>
      <c r="Z39" s="32"/>
      <c r="AA39" s="32"/>
      <c r="AB39" s="32"/>
      <c r="AC39" s="32"/>
      <c r="AD39" s="32"/>
      <c r="AE39" s="32"/>
      <c r="AF39" s="32"/>
    </row>
    <row r="40" spans="1:32" ht="13.5" customHeight="1" x14ac:dyDescent="0.3">
      <c r="A40" s="120"/>
      <c r="B40" s="5"/>
      <c r="C40" s="6" t="s">
        <v>2</v>
      </c>
      <c r="D40" s="6"/>
      <c r="E40" s="14" t="s">
        <v>5</v>
      </c>
      <c r="F40" s="15">
        <f t="shared" ref="F40:M40" si="3">SUM(F18:F39)</f>
        <v>17.916449999999998</v>
      </c>
      <c r="G40" s="15">
        <f t="shared" si="3"/>
        <v>16.157787500000001</v>
      </c>
      <c r="H40" s="15">
        <f t="shared" si="3"/>
        <v>15.571566666666667</v>
      </c>
      <c r="I40" s="15">
        <f t="shared" si="3"/>
        <v>15.102590000000001</v>
      </c>
      <c r="J40" s="15">
        <f t="shared" ref="J40:K40" si="4">SUM(J18:J39)</f>
        <v>14.961896999999999</v>
      </c>
      <c r="K40" s="15">
        <f t="shared" si="4"/>
        <v>14.868101666666668</v>
      </c>
      <c r="L40" s="15">
        <f t="shared" si="3"/>
        <v>14.801105</v>
      </c>
      <c r="M40" s="15">
        <f t="shared" si="3"/>
        <v>14.750857499999999</v>
      </c>
      <c r="N40" s="54">
        <f>SUM(N14:N39)</f>
        <v>0</v>
      </c>
      <c r="O40" s="32"/>
      <c r="P40" s="32"/>
      <c r="Q40" s="32"/>
      <c r="R40" s="32"/>
      <c r="S40" s="32"/>
      <c r="T40" s="32"/>
      <c r="U40" s="32"/>
      <c r="V40" s="32"/>
      <c r="W40" s="32"/>
      <c r="X40" s="32"/>
      <c r="Y40" s="32"/>
      <c r="Z40" s="32"/>
      <c r="AA40" s="32"/>
      <c r="AB40" s="32"/>
      <c r="AC40" s="32"/>
      <c r="AD40" s="32"/>
      <c r="AE40" s="32"/>
      <c r="AF40" s="32"/>
    </row>
    <row r="41" spans="1:32" ht="13.5" customHeight="1" x14ac:dyDescent="0.3">
      <c r="A41" s="120"/>
      <c r="B41" s="16" t="s">
        <v>3</v>
      </c>
      <c r="C41" s="17" t="s">
        <v>4</v>
      </c>
      <c r="D41" s="7"/>
      <c r="E41" s="8" t="s">
        <v>6</v>
      </c>
      <c r="F41" s="18">
        <f t="shared" ref="F41:M41" si="5">(($B$42/F13)+$C$42)/60</f>
        <v>0.54333333333333333</v>
      </c>
      <c r="G41" s="18">
        <f t="shared" si="5"/>
        <v>0.49041666666666667</v>
      </c>
      <c r="H41" s="18">
        <f t="shared" si="5"/>
        <v>0.4727777777777778</v>
      </c>
      <c r="I41" s="18">
        <f t="shared" si="5"/>
        <v>0.45866666666666667</v>
      </c>
      <c r="J41" s="18">
        <f t="shared" ref="J41:K41" si="6">(($B$42/J13)+$C$42)/60</f>
        <v>0.4544333333333333</v>
      </c>
      <c r="K41" s="18">
        <f t="shared" si="6"/>
        <v>0.45161111111111113</v>
      </c>
      <c r="L41" s="18">
        <f t="shared" si="5"/>
        <v>0.4495952380952381</v>
      </c>
      <c r="M41" s="18">
        <f t="shared" si="5"/>
        <v>0.44808333333333333</v>
      </c>
      <c r="N41" s="53"/>
      <c r="O41" s="32"/>
      <c r="P41" s="32"/>
      <c r="Q41" s="32"/>
      <c r="R41" s="32"/>
      <c r="S41" s="32"/>
      <c r="T41" s="32"/>
      <c r="U41" s="32"/>
      <c r="V41" s="32"/>
      <c r="W41" s="32"/>
      <c r="X41" s="32"/>
      <c r="Y41" s="32"/>
      <c r="Z41" s="32"/>
      <c r="AA41" s="32"/>
      <c r="AB41" s="32"/>
      <c r="AC41" s="32"/>
      <c r="AD41" s="32"/>
      <c r="AE41" s="32"/>
      <c r="AF41" s="32"/>
    </row>
    <row r="42" spans="1:32" ht="13.5" customHeight="1" x14ac:dyDescent="0.3">
      <c r="A42" s="120"/>
      <c r="B42" s="11">
        <f>SUM(B18:B39)</f>
        <v>127</v>
      </c>
      <c r="C42" s="7">
        <f>SUM(C18:C39)</f>
        <v>26.25</v>
      </c>
      <c r="D42" s="112">
        <f>VLOOKUP(E42,[1]!Rates2020,$B$96,FALSE)</f>
        <v>4.1500000000000004</v>
      </c>
      <c r="E42" s="8" t="s">
        <v>7</v>
      </c>
      <c r="F42" s="18">
        <f>F40*$D$42</f>
        <v>74.353267500000001</v>
      </c>
      <c r="G42" s="18">
        <f t="shared" ref="G42:M42" si="7">G40*$D$42</f>
        <v>67.054818125000011</v>
      </c>
      <c r="H42" s="18">
        <f t="shared" si="7"/>
        <v>64.622001666666677</v>
      </c>
      <c r="I42" s="18">
        <f t="shared" si="7"/>
        <v>62.675748500000012</v>
      </c>
      <c r="J42" s="18">
        <f t="shared" ref="J42:K42" si="8">J40*$D$42</f>
        <v>62.091872549999998</v>
      </c>
      <c r="K42" s="18">
        <f t="shared" si="8"/>
        <v>61.702621916666679</v>
      </c>
      <c r="L42" s="18">
        <f t="shared" si="7"/>
        <v>61.424585750000006</v>
      </c>
      <c r="M42" s="18">
        <f t="shared" si="7"/>
        <v>61.216058625000002</v>
      </c>
      <c r="N42" s="53"/>
      <c r="O42" s="119"/>
      <c r="P42" s="32"/>
      <c r="Q42" s="32"/>
      <c r="R42" s="32"/>
      <c r="S42" s="32"/>
      <c r="T42" s="32"/>
      <c r="U42" s="32"/>
      <c r="V42" s="32"/>
      <c r="W42" s="32"/>
      <c r="X42" s="32"/>
      <c r="Y42" s="32"/>
      <c r="Z42" s="32"/>
      <c r="AA42" s="32"/>
      <c r="AB42" s="32"/>
      <c r="AC42" s="32"/>
      <c r="AD42" s="32"/>
      <c r="AE42" s="32"/>
      <c r="AF42" s="32"/>
    </row>
    <row r="43" spans="1:32" ht="13.5" customHeight="1" x14ac:dyDescent="0.3">
      <c r="A43" s="120"/>
      <c r="B43" s="11"/>
      <c r="C43" s="7"/>
      <c r="D43" s="7"/>
      <c r="E43" s="8"/>
      <c r="F43" s="7"/>
      <c r="G43" s="7"/>
      <c r="H43" s="7"/>
      <c r="I43" s="7"/>
      <c r="J43" s="7"/>
      <c r="K43" s="7"/>
      <c r="L43" s="7"/>
      <c r="M43" s="7"/>
      <c r="N43" s="8"/>
      <c r="O43" s="32"/>
      <c r="P43" s="32"/>
      <c r="Q43" s="32"/>
      <c r="R43" s="32"/>
      <c r="S43" s="32"/>
      <c r="T43" s="32"/>
      <c r="U43" s="32"/>
      <c r="V43" s="32"/>
      <c r="W43" s="32"/>
      <c r="X43" s="32"/>
      <c r="Y43" s="32"/>
      <c r="Z43" s="32"/>
      <c r="AA43" s="32"/>
      <c r="AB43" s="32"/>
      <c r="AC43" s="32"/>
      <c r="AD43" s="32"/>
      <c r="AE43" s="32"/>
      <c r="AF43" s="32"/>
    </row>
    <row r="44" spans="1:32" ht="13.5" customHeight="1" x14ac:dyDescent="0.3">
      <c r="A44" s="120"/>
      <c r="B44" s="11"/>
      <c r="C44" s="7"/>
      <c r="D44" s="7"/>
      <c r="E44" s="19" t="s">
        <v>8</v>
      </c>
      <c r="F44" s="20">
        <f>F40+F42</f>
        <v>92.269717499999999</v>
      </c>
      <c r="G44" s="20">
        <f t="shared" ref="G44:M44" si="9">G40+G42</f>
        <v>83.212605625000009</v>
      </c>
      <c r="H44" s="20">
        <f t="shared" si="9"/>
        <v>80.193568333333346</v>
      </c>
      <c r="I44" s="20">
        <f t="shared" si="9"/>
        <v>77.778338500000018</v>
      </c>
      <c r="J44" s="20">
        <f t="shared" ref="J44:K44" si="10">J40+J42</f>
        <v>77.053769549999998</v>
      </c>
      <c r="K44" s="20">
        <f t="shared" si="10"/>
        <v>76.570723583333347</v>
      </c>
      <c r="L44" s="20">
        <f t="shared" si="9"/>
        <v>76.225690750000012</v>
      </c>
      <c r="M44" s="20">
        <f t="shared" si="9"/>
        <v>75.966916124999997</v>
      </c>
      <c r="N44" s="21">
        <f>N40</f>
        <v>0</v>
      </c>
      <c r="O44" s="32"/>
      <c r="P44" s="198"/>
      <c r="Q44" s="32"/>
      <c r="R44" s="32"/>
      <c r="S44" s="198"/>
      <c r="T44" s="32"/>
      <c r="U44" s="32"/>
      <c r="V44" s="32"/>
      <c r="W44" s="32"/>
      <c r="X44" s="32"/>
      <c r="Y44" s="32"/>
      <c r="Z44" s="32"/>
      <c r="AA44" s="32"/>
      <c r="AB44" s="32"/>
      <c r="AC44" s="32"/>
      <c r="AD44" s="32"/>
      <c r="AE44" s="32"/>
      <c r="AF44" s="32"/>
    </row>
    <row r="45" spans="1:32" ht="13.5" customHeight="1" thickBot="1" x14ac:dyDescent="0.35">
      <c r="A45" s="121"/>
      <c r="B45" s="22"/>
      <c r="C45" s="9"/>
      <c r="D45" s="9"/>
      <c r="E45" s="10"/>
      <c r="F45" s="9"/>
      <c r="G45" s="9"/>
      <c r="H45" s="9"/>
      <c r="I45" s="9"/>
      <c r="J45" s="9"/>
      <c r="K45" s="9"/>
      <c r="L45" s="9"/>
      <c r="M45" s="9"/>
      <c r="N45" s="10"/>
      <c r="O45" s="32"/>
      <c r="P45" s="32"/>
      <c r="Q45" s="32"/>
      <c r="R45" s="32"/>
      <c r="S45" s="32"/>
      <c r="T45" s="32"/>
      <c r="U45" s="32"/>
      <c r="V45" s="32"/>
      <c r="W45" s="32"/>
      <c r="X45" s="32"/>
      <c r="Y45" s="32"/>
      <c r="Z45" s="32"/>
      <c r="AA45" s="32"/>
      <c r="AB45" s="32"/>
      <c r="AC45" s="32"/>
      <c r="AD45" s="32"/>
      <c r="AE45" s="32"/>
      <c r="AF45" s="32"/>
    </row>
    <row r="46" spans="1:32" ht="29.25" customHeight="1" thickBot="1" x14ac:dyDescent="0.35">
      <c r="A46" s="85" t="s">
        <v>9</v>
      </c>
      <c r="B46" s="86" t="s">
        <v>113</v>
      </c>
      <c r="C46" s="86" t="s">
        <v>13</v>
      </c>
      <c r="D46" s="86" t="s">
        <v>14</v>
      </c>
      <c r="E46" s="87" t="s">
        <v>15</v>
      </c>
      <c r="F46" s="88" t="str">
        <f t="shared" ref="F46:M46" si="11">"Qty: "&amp; F13</f>
        <v>Qty: 20</v>
      </c>
      <c r="G46" s="88" t="str">
        <f t="shared" si="11"/>
        <v>Qty: 40</v>
      </c>
      <c r="H46" s="88" t="str">
        <f t="shared" si="11"/>
        <v>Qty: 60</v>
      </c>
      <c r="I46" s="88" t="str">
        <f t="shared" si="11"/>
        <v>Qty: 100</v>
      </c>
      <c r="J46" s="88" t="str">
        <f t="shared" ref="J46:K46" si="12">"Qty: "&amp; J13</f>
        <v>Qty: 125</v>
      </c>
      <c r="K46" s="88" t="str">
        <f t="shared" si="12"/>
        <v>Qty: 150</v>
      </c>
      <c r="L46" s="88" t="str">
        <f t="shared" si="11"/>
        <v>Qty: 175</v>
      </c>
      <c r="M46" s="89" t="str">
        <f t="shared" si="11"/>
        <v>Qty: 200</v>
      </c>
      <c r="N46" s="150" t="s">
        <v>81</v>
      </c>
      <c r="O46" s="32"/>
      <c r="P46" s="32"/>
      <c r="Q46" s="32"/>
      <c r="R46" s="32"/>
      <c r="S46" s="32"/>
      <c r="T46" s="32"/>
      <c r="U46" s="32"/>
      <c r="V46" s="32"/>
      <c r="W46" s="32"/>
      <c r="X46" s="32"/>
      <c r="Y46" s="32"/>
      <c r="Z46" s="32"/>
      <c r="AA46" s="32"/>
      <c r="AB46" s="32"/>
      <c r="AC46" s="32"/>
      <c r="AD46" s="32"/>
      <c r="AE46" s="32"/>
      <c r="AF46" s="32"/>
    </row>
    <row r="47" spans="1:32" x14ac:dyDescent="0.3">
      <c r="A47" s="28" t="s">
        <v>138</v>
      </c>
      <c r="B47" s="259" t="s">
        <v>139</v>
      </c>
      <c r="C47" s="31">
        <v>9.1999999999999998E-2</v>
      </c>
      <c r="D47" s="260">
        <v>5.46</v>
      </c>
      <c r="E47" s="125">
        <f t="shared" ref="E47:E58" si="13">C47*D47</f>
        <v>0.50231999999999999</v>
      </c>
      <c r="F47" s="33">
        <f>IF($N47=TRUE,$E47/F$13,$E47*(1+(1/F$13)))</f>
        <v>0.52743600000000002</v>
      </c>
      <c r="G47" s="33">
        <f t="shared" ref="G47:M58" si="14">IF($N47=TRUE,$E47/G$13,$E47*(1+(1/G$13)))</f>
        <v>0.51487799999999995</v>
      </c>
      <c r="H47" s="33">
        <f t="shared" si="14"/>
        <v>0.51069199999999992</v>
      </c>
      <c r="I47" s="33">
        <f t="shared" si="14"/>
        <v>0.50734319999999999</v>
      </c>
      <c r="J47" s="33">
        <f t="shared" si="14"/>
        <v>0.50633855999999999</v>
      </c>
      <c r="K47" s="33">
        <f t="shared" si="14"/>
        <v>0.50566879999999992</v>
      </c>
      <c r="L47" s="33">
        <f t="shared" si="14"/>
        <v>0.50519040000000004</v>
      </c>
      <c r="M47" s="33">
        <f t="shared" si="14"/>
        <v>0.50483159999999994</v>
      </c>
      <c r="N47" s="147" t="b">
        <v>0</v>
      </c>
      <c r="O47" s="261" t="s">
        <v>140</v>
      </c>
      <c r="Q47" s="32"/>
      <c r="R47" s="32"/>
      <c r="S47" s="32"/>
      <c r="T47" s="32"/>
      <c r="U47" s="32"/>
      <c r="V47" s="32"/>
      <c r="W47" s="32"/>
      <c r="X47" s="32"/>
      <c r="Y47" s="32"/>
      <c r="Z47" s="32"/>
      <c r="AA47" s="32"/>
      <c r="AB47" s="32"/>
      <c r="AC47" s="32"/>
      <c r="AD47" s="32"/>
      <c r="AE47" s="32"/>
      <c r="AF47" s="32"/>
    </row>
    <row r="48" spans="1:32" x14ac:dyDescent="0.3">
      <c r="A48" s="29"/>
      <c r="B48" s="30"/>
      <c r="C48" s="31"/>
      <c r="D48" s="124"/>
      <c r="E48" s="125">
        <f t="shared" si="13"/>
        <v>0</v>
      </c>
      <c r="F48" s="33">
        <f t="shared" ref="F48:F58" si="15">IF($N48=TRUE,$E48/F$13,$E48*(1+(1/F$13)))</f>
        <v>0</v>
      </c>
      <c r="G48" s="33">
        <f t="shared" si="14"/>
        <v>0</v>
      </c>
      <c r="H48" s="33">
        <f t="shared" si="14"/>
        <v>0</v>
      </c>
      <c r="I48" s="33">
        <f t="shared" si="14"/>
        <v>0</v>
      </c>
      <c r="J48" s="33">
        <f t="shared" si="14"/>
        <v>0</v>
      </c>
      <c r="K48" s="33">
        <f t="shared" si="14"/>
        <v>0</v>
      </c>
      <c r="L48" s="33">
        <f t="shared" si="14"/>
        <v>0</v>
      </c>
      <c r="M48" s="33">
        <f t="shared" si="14"/>
        <v>0</v>
      </c>
      <c r="N48" s="147" t="b">
        <v>0</v>
      </c>
      <c r="O48" s="32"/>
      <c r="P48" s="32"/>
      <c r="Q48" s="32"/>
      <c r="R48" s="32"/>
      <c r="S48" s="32"/>
      <c r="T48" s="32"/>
      <c r="U48" s="32"/>
      <c r="V48" s="32"/>
      <c r="W48" s="32"/>
      <c r="X48" s="32"/>
      <c r="Y48" s="32"/>
      <c r="Z48" s="32"/>
      <c r="AA48" s="32"/>
      <c r="AB48" s="32"/>
      <c r="AC48" s="32"/>
      <c r="AD48" s="32"/>
      <c r="AE48" s="32"/>
      <c r="AF48" s="32"/>
    </row>
    <row r="49" spans="1:32" ht="15" thickBot="1" x14ac:dyDescent="0.35">
      <c r="A49" s="29"/>
      <c r="B49" s="30"/>
      <c r="C49" s="31"/>
      <c r="D49" s="124"/>
      <c r="E49" s="125">
        <f t="shared" si="13"/>
        <v>0</v>
      </c>
      <c r="F49" s="33">
        <f t="shared" si="15"/>
        <v>0</v>
      </c>
      <c r="G49" s="33">
        <f t="shared" si="14"/>
        <v>0</v>
      </c>
      <c r="H49" s="33">
        <f t="shared" si="14"/>
        <v>0</v>
      </c>
      <c r="I49" s="33">
        <f t="shared" si="14"/>
        <v>0</v>
      </c>
      <c r="J49" s="33">
        <f t="shared" si="14"/>
        <v>0</v>
      </c>
      <c r="K49" s="33">
        <f t="shared" si="14"/>
        <v>0</v>
      </c>
      <c r="L49" s="33">
        <f t="shared" si="14"/>
        <v>0</v>
      </c>
      <c r="M49" s="33">
        <f t="shared" si="14"/>
        <v>0</v>
      </c>
      <c r="N49" s="148" t="b">
        <v>0</v>
      </c>
      <c r="O49" s="32"/>
      <c r="P49" s="32"/>
      <c r="Q49" s="32"/>
      <c r="R49" s="32"/>
      <c r="S49" s="32"/>
      <c r="T49" s="32"/>
      <c r="U49" s="32"/>
      <c r="V49" s="32"/>
      <c r="W49" s="32"/>
      <c r="X49" s="32"/>
      <c r="Y49" s="32"/>
      <c r="Z49" s="32"/>
      <c r="AA49" s="32"/>
      <c r="AB49" s="32"/>
      <c r="AC49" s="32"/>
      <c r="AD49" s="32"/>
      <c r="AE49" s="32"/>
      <c r="AF49" s="32"/>
    </row>
    <row r="50" spans="1:32" x14ac:dyDescent="0.3">
      <c r="A50" s="28"/>
      <c r="B50" s="30"/>
      <c r="C50" s="31"/>
      <c r="D50" s="124"/>
      <c r="E50" s="125">
        <f t="shared" si="13"/>
        <v>0</v>
      </c>
      <c r="F50" s="33">
        <f t="shared" si="15"/>
        <v>0</v>
      </c>
      <c r="G50" s="33">
        <f t="shared" si="14"/>
        <v>0</v>
      </c>
      <c r="H50" s="33">
        <f t="shared" si="14"/>
        <v>0</v>
      </c>
      <c r="I50" s="33">
        <f t="shared" si="14"/>
        <v>0</v>
      </c>
      <c r="J50" s="33">
        <f t="shared" si="14"/>
        <v>0</v>
      </c>
      <c r="K50" s="33">
        <f t="shared" si="14"/>
        <v>0</v>
      </c>
      <c r="L50" s="33">
        <f t="shared" si="14"/>
        <v>0</v>
      </c>
      <c r="M50" s="33">
        <f t="shared" si="14"/>
        <v>0</v>
      </c>
      <c r="N50" s="147" t="b">
        <v>0</v>
      </c>
      <c r="O50" s="32"/>
      <c r="P50" s="32"/>
      <c r="Q50" s="32"/>
      <c r="R50" s="32"/>
      <c r="S50" s="32"/>
      <c r="T50" s="118"/>
      <c r="U50" s="32"/>
      <c r="V50" s="32"/>
      <c r="W50" s="32"/>
      <c r="X50" s="32"/>
      <c r="Y50" s="32"/>
      <c r="Z50" s="32"/>
      <c r="AA50" s="32"/>
      <c r="AB50" s="32"/>
      <c r="AC50" s="32"/>
      <c r="AD50" s="32"/>
      <c r="AE50" s="32"/>
      <c r="AF50" s="32"/>
    </row>
    <row r="51" spans="1:32" x14ac:dyDescent="0.3">
      <c r="A51" s="29"/>
      <c r="B51" s="30"/>
      <c r="C51" s="31"/>
      <c r="D51" s="124"/>
      <c r="E51" s="125">
        <f t="shared" si="13"/>
        <v>0</v>
      </c>
      <c r="F51" s="33">
        <f t="shared" si="15"/>
        <v>0</v>
      </c>
      <c r="G51" s="33">
        <f t="shared" si="14"/>
        <v>0</v>
      </c>
      <c r="H51" s="33">
        <f t="shared" si="14"/>
        <v>0</v>
      </c>
      <c r="I51" s="33">
        <f t="shared" si="14"/>
        <v>0</v>
      </c>
      <c r="J51" s="33">
        <f t="shared" si="14"/>
        <v>0</v>
      </c>
      <c r="K51" s="33">
        <f t="shared" si="14"/>
        <v>0</v>
      </c>
      <c r="L51" s="33">
        <f t="shared" si="14"/>
        <v>0</v>
      </c>
      <c r="M51" s="33">
        <f t="shared" si="14"/>
        <v>0</v>
      </c>
      <c r="N51" s="147" t="b">
        <v>0</v>
      </c>
      <c r="O51" s="32"/>
      <c r="P51" s="32"/>
      <c r="Q51" s="32"/>
      <c r="R51" s="32"/>
      <c r="S51" s="32"/>
      <c r="T51" s="118"/>
      <c r="U51" s="32"/>
      <c r="V51" s="32"/>
      <c r="W51" s="32"/>
      <c r="X51" s="32"/>
      <c r="Y51" s="32"/>
      <c r="Z51" s="32"/>
      <c r="AA51" s="32"/>
      <c r="AB51" s="32"/>
      <c r="AC51" s="32"/>
      <c r="AD51" s="32"/>
      <c r="AE51" s="32"/>
      <c r="AF51" s="32"/>
    </row>
    <row r="52" spans="1:32" ht="15" thickBot="1" x14ac:dyDescent="0.35">
      <c r="A52" s="29"/>
      <c r="B52" s="30"/>
      <c r="C52" s="31"/>
      <c r="D52" s="124"/>
      <c r="E52" s="125">
        <f t="shared" si="13"/>
        <v>0</v>
      </c>
      <c r="F52" s="33">
        <f t="shared" si="15"/>
        <v>0</v>
      </c>
      <c r="G52" s="33">
        <f t="shared" si="14"/>
        <v>0</v>
      </c>
      <c r="H52" s="33">
        <f t="shared" si="14"/>
        <v>0</v>
      </c>
      <c r="I52" s="33">
        <f t="shared" si="14"/>
        <v>0</v>
      </c>
      <c r="J52" s="33">
        <f t="shared" si="14"/>
        <v>0</v>
      </c>
      <c r="K52" s="33">
        <f t="shared" si="14"/>
        <v>0</v>
      </c>
      <c r="L52" s="33">
        <f t="shared" si="14"/>
        <v>0</v>
      </c>
      <c r="M52" s="33">
        <f t="shared" si="14"/>
        <v>0</v>
      </c>
      <c r="N52" s="148" t="b">
        <v>0</v>
      </c>
      <c r="O52" s="32"/>
      <c r="P52" s="32"/>
      <c r="Q52" s="32"/>
      <c r="R52" s="32"/>
      <c r="S52" s="32"/>
      <c r="T52" s="118"/>
      <c r="U52" s="32"/>
      <c r="V52" s="32"/>
      <c r="W52" s="32"/>
      <c r="X52" s="32"/>
      <c r="Y52" s="32"/>
      <c r="Z52" s="32"/>
      <c r="AA52" s="32"/>
      <c r="AB52" s="32"/>
      <c r="AC52" s="32"/>
      <c r="AD52" s="32"/>
      <c r="AE52" s="32"/>
      <c r="AF52" s="32"/>
    </row>
    <row r="53" spans="1:32" x14ac:dyDescent="0.3">
      <c r="A53" s="28"/>
      <c r="B53" s="30"/>
      <c r="C53" s="31"/>
      <c r="D53" s="124"/>
      <c r="E53" s="125">
        <f t="shared" si="13"/>
        <v>0</v>
      </c>
      <c r="F53" s="33">
        <f t="shared" si="15"/>
        <v>0</v>
      </c>
      <c r="G53" s="33">
        <f t="shared" si="14"/>
        <v>0</v>
      </c>
      <c r="H53" s="33">
        <f t="shared" si="14"/>
        <v>0</v>
      </c>
      <c r="I53" s="33">
        <f t="shared" si="14"/>
        <v>0</v>
      </c>
      <c r="J53" s="33">
        <f t="shared" si="14"/>
        <v>0</v>
      </c>
      <c r="K53" s="33">
        <f t="shared" si="14"/>
        <v>0</v>
      </c>
      <c r="L53" s="33">
        <f t="shared" si="14"/>
        <v>0</v>
      </c>
      <c r="M53" s="33">
        <f t="shared" si="14"/>
        <v>0</v>
      </c>
      <c r="N53" s="147" t="b">
        <v>0</v>
      </c>
      <c r="O53" s="32"/>
      <c r="P53" s="32"/>
      <c r="Q53" s="32"/>
      <c r="R53" s="32"/>
      <c r="S53" s="32"/>
      <c r="T53" s="118"/>
      <c r="U53" s="32"/>
      <c r="V53" s="32"/>
      <c r="W53" s="32"/>
      <c r="X53" s="32"/>
      <c r="Y53" s="32"/>
      <c r="Z53" s="32"/>
      <c r="AA53" s="32"/>
      <c r="AB53" s="32"/>
      <c r="AC53" s="32"/>
      <c r="AD53" s="32"/>
      <c r="AE53" s="32"/>
      <c r="AF53" s="32"/>
    </row>
    <row r="54" spans="1:32" x14ac:dyDescent="0.3">
      <c r="A54" s="29"/>
      <c r="B54" s="30"/>
      <c r="C54" s="31"/>
      <c r="D54" s="124"/>
      <c r="E54" s="125">
        <f t="shared" si="13"/>
        <v>0</v>
      </c>
      <c r="F54" s="33">
        <f t="shared" si="15"/>
        <v>0</v>
      </c>
      <c r="G54" s="33">
        <f t="shared" si="14"/>
        <v>0</v>
      </c>
      <c r="H54" s="33">
        <f t="shared" si="14"/>
        <v>0</v>
      </c>
      <c r="I54" s="33">
        <f t="shared" si="14"/>
        <v>0</v>
      </c>
      <c r="J54" s="33">
        <f t="shared" si="14"/>
        <v>0</v>
      </c>
      <c r="K54" s="33">
        <f t="shared" si="14"/>
        <v>0</v>
      </c>
      <c r="L54" s="33">
        <f t="shared" si="14"/>
        <v>0</v>
      </c>
      <c r="M54" s="33">
        <f t="shared" si="14"/>
        <v>0</v>
      </c>
      <c r="N54" s="147" t="b">
        <v>0</v>
      </c>
      <c r="O54" s="32"/>
      <c r="P54" s="32"/>
      <c r="Q54" s="32"/>
      <c r="R54" s="32"/>
      <c r="S54" s="32"/>
      <c r="T54" s="118"/>
      <c r="U54" s="32"/>
      <c r="V54" s="32"/>
      <c r="W54" s="32"/>
      <c r="X54" s="32"/>
      <c r="Y54" s="32"/>
      <c r="Z54" s="32"/>
      <c r="AA54" s="32"/>
      <c r="AB54" s="32"/>
      <c r="AC54" s="32"/>
      <c r="AD54" s="32"/>
      <c r="AE54" s="32"/>
      <c r="AF54" s="32"/>
    </row>
    <row r="55" spans="1:32" ht="15" thickBot="1" x14ac:dyDescent="0.35">
      <c r="A55" s="29"/>
      <c r="B55" s="30"/>
      <c r="C55" s="31"/>
      <c r="D55" s="124"/>
      <c r="E55" s="125">
        <f t="shared" si="13"/>
        <v>0</v>
      </c>
      <c r="F55" s="33">
        <f t="shared" si="15"/>
        <v>0</v>
      </c>
      <c r="G55" s="33">
        <f t="shared" si="14"/>
        <v>0</v>
      </c>
      <c r="H55" s="33">
        <f t="shared" si="14"/>
        <v>0</v>
      </c>
      <c r="I55" s="33">
        <f t="shared" si="14"/>
        <v>0</v>
      </c>
      <c r="J55" s="33">
        <f t="shared" si="14"/>
        <v>0</v>
      </c>
      <c r="K55" s="33">
        <f t="shared" si="14"/>
        <v>0</v>
      </c>
      <c r="L55" s="33">
        <f t="shared" si="14"/>
        <v>0</v>
      </c>
      <c r="M55" s="33">
        <f t="shared" si="14"/>
        <v>0</v>
      </c>
      <c r="N55" s="148" t="b">
        <v>0</v>
      </c>
      <c r="O55" s="32"/>
      <c r="P55" s="32"/>
      <c r="Q55" s="32"/>
      <c r="R55" s="32"/>
      <c r="S55" s="32"/>
      <c r="T55" s="118"/>
      <c r="U55" s="32"/>
      <c r="V55" s="32"/>
      <c r="W55" s="32"/>
      <c r="X55" s="32"/>
      <c r="Y55" s="32"/>
      <c r="Z55" s="32"/>
      <c r="AA55" s="32"/>
      <c r="AB55" s="32"/>
      <c r="AC55" s="32"/>
      <c r="AD55" s="32"/>
      <c r="AE55" s="32"/>
      <c r="AF55" s="32"/>
    </row>
    <row r="56" spans="1:32" x14ac:dyDescent="0.3">
      <c r="A56" s="28"/>
      <c r="B56" s="30"/>
      <c r="C56" s="31"/>
      <c r="D56" s="124"/>
      <c r="E56" s="125">
        <f t="shared" si="13"/>
        <v>0</v>
      </c>
      <c r="F56" s="33">
        <f t="shared" si="15"/>
        <v>0</v>
      </c>
      <c r="G56" s="33">
        <f t="shared" si="14"/>
        <v>0</v>
      </c>
      <c r="H56" s="33">
        <f t="shared" si="14"/>
        <v>0</v>
      </c>
      <c r="I56" s="33">
        <f t="shared" si="14"/>
        <v>0</v>
      </c>
      <c r="J56" s="33">
        <f t="shared" si="14"/>
        <v>0</v>
      </c>
      <c r="K56" s="33">
        <f t="shared" si="14"/>
        <v>0</v>
      </c>
      <c r="L56" s="33">
        <f t="shared" si="14"/>
        <v>0</v>
      </c>
      <c r="M56" s="33">
        <f t="shared" si="14"/>
        <v>0</v>
      </c>
      <c r="N56" s="147" t="b">
        <v>0</v>
      </c>
      <c r="O56" s="32"/>
      <c r="P56" s="32"/>
      <c r="Q56" s="32"/>
      <c r="R56" s="32"/>
      <c r="S56" s="32"/>
      <c r="T56" s="32"/>
      <c r="U56" s="32"/>
      <c r="V56" s="32"/>
      <c r="W56" s="32"/>
      <c r="X56" s="32"/>
      <c r="Y56" s="32"/>
      <c r="Z56" s="32"/>
      <c r="AA56" s="32"/>
      <c r="AB56" s="32"/>
      <c r="AC56" s="32"/>
      <c r="AD56" s="32"/>
      <c r="AE56" s="32"/>
      <c r="AF56" s="32"/>
    </row>
    <row r="57" spans="1:32" x14ac:dyDescent="0.3">
      <c r="A57" s="29"/>
      <c r="B57" s="30"/>
      <c r="C57" s="31"/>
      <c r="D57" s="124"/>
      <c r="E57" s="125">
        <f t="shared" si="13"/>
        <v>0</v>
      </c>
      <c r="F57" s="33">
        <f t="shared" si="15"/>
        <v>0</v>
      </c>
      <c r="G57" s="33">
        <f t="shared" si="14"/>
        <v>0</v>
      </c>
      <c r="H57" s="33">
        <f t="shared" si="14"/>
        <v>0</v>
      </c>
      <c r="I57" s="33">
        <f t="shared" si="14"/>
        <v>0</v>
      </c>
      <c r="J57" s="33">
        <f t="shared" si="14"/>
        <v>0</v>
      </c>
      <c r="K57" s="33">
        <f t="shared" si="14"/>
        <v>0</v>
      </c>
      <c r="L57" s="33">
        <f t="shared" si="14"/>
        <v>0</v>
      </c>
      <c r="M57" s="33">
        <f t="shared" si="14"/>
        <v>0</v>
      </c>
      <c r="N57" s="147" t="b">
        <v>0</v>
      </c>
      <c r="O57" s="32"/>
      <c r="P57" s="32"/>
      <c r="Q57" s="32"/>
      <c r="R57" s="32"/>
      <c r="S57" s="32"/>
      <c r="T57" s="32"/>
      <c r="U57" s="32"/>
      <c r="V57" s="32"/>
      <c r="W57" s="32"/>
      <c r="X57" s="32"/>
      <c r="Y57" s="32"/>
      <c r="Z57" s="32"/>
      <c r="AA57" s="32"/>
      <c r="AB57" s="32"/>
      <c r="AC57" s="32"/>
      <c r="AD57" s="32"/>
      <c r="AE57" s="32"/>
      <c r="AF57" s="32"/>
    </row>
    <row r="58" spans="1:32" ht="15" thickBot="1" x14ac:dyDescent="0.35">
      <c r="A58" s="29"/>
      <c r="B58" s="30"/>
      <c r="C58" s="31"/>
      <c r="D58" s="124"/>
      <c r="E58" s="125">
        <f t="shared" si="13"/>
        <v>0</v>
      </c>
      <c r="F58" s="33">
        <f t="shared" si="15"/>
        <v>0</v>
      </c>
      <c r="G58" s="33">
        <f t="shared" si="14"/>
        <v>0</v>
      </c>
      <c r="H58" s="33">
        <f t="shared" si="14"/>
        <v>0</v>
      </c>
      <c r="I58" s="33">
        <f t="shared" si="14"/>
        <v>0</v>
      </c>
      <c r="J58" s="33">
        <f t="shared" si="14"/>
        <v>0</v>
      </c>
      <c r="K58" s="33">
        <f t="shared" si="14"/>
        <v>0</v>
      </c>
      <c r="L58" s="33">
        <f t="shared" si="14"/>
        <v>0</v>
      </c>
      <c r="M58" s="33">
        <f t="shared" si="14"/>
        <v>0</v>
      </c>
      <c r="N58" s="148" t="b">
        <v>0</v>
      </c>
      <c r="O58" s="32"/>
      <c r="P58" s="32"/>
      <c r="Q58" s="32"/>
      <c r="R58" s="32"/>
      <c r="S58" s="32"/>
      <c r="T58" s="32"/>
      <c r="U58" s="32"/>
      <c r="V58" s="32"/>
      <c r="W58" s="32"/>
      <c r="X58" s="32"/>
      <c r="Y58" s="32"/>
      <c r="Z58" s="32"/>
      <c r="AA58" s="32"/>
      <c r="AB58" s="32"/>
      <c r="AC58" s="32"/>
      <c r="AD58" s="32"/>
      <c r="AE58" s="32"/>
      <c r="AF58" s="32"/>
    </row>
    <row r="59" spans="1:32" ht="15" thickBot="1" x14ac:dyDescent="0.35">
      <c r="A59" s="90" t="s">
        <v>10</v>
      </c>
      <c r="B59" s="91"/>
      <c r="C59" s="92"/>
      <c r="D59" s="92" t="s">
        <v>32</v>
      </c>
      <c r="E59" s="93" t="s">
        <v>33</v>
      </c>
      <c r="F59" s="94"/>
      <c r="G59" s="95"/>
      <c r="H59" s="95"/>
      <c r="I59" s="95"/>
      <c r="J59" s="95"/>
      <c r="K59" s="95"/>
      <c r="L59" s="95"/>
      <c r="M59" s="95"/>
      <c r="N59" s="96"/>
      <c r="O59" s="32"/>
      <c r="P59" s="32"/>
      <c r="Q59" s="32"/>
      <c r="R59" s="32"/>
      <c r="S59" s="32"/>
      <c r="T59" s="32"/>
      <c r="U59" s="32"/>
      <c r="V59" s="32"/>
      <c r="W59" s="32"/>
      <c r="X59" s="32"/>
      <c r="Y59" s="32"/>
      <c r="Z59" s="32"/>
      <c r="AA59" s="32"/>
      <c r="AB59" s="32"/>
      <c r="AC59" s="32"/>
      <c r="AD59" s="32"/>
      <c r="AE59" s="32"/>
      <c r="AF59" s="32"/>
    </row>
    <row r="60" spans="1:32" x14ac:dyDescent="0.3">
      <c r="A60" s="29"/>
      <c r="B60" s="30"/>
      <c r="C60" s="31"/>
      <c r="D60" s="127"/>
      <c r="E60" s="126"/>
      <c r="F60" s="33">
        <f>($D60/F$13)+$E60</f>
        <v>0</v>
      </c>
      <c r="G60" s="33">
        <f t="shared" ref="G60:M64" si="16">($D60/G$13)+$E60</f>
        <v>0</v>
      </c>
      <c r="H60" s="33">
        <f t="shared" si="16"/>
        <v>0</v>
      </c>
      <c r="I60" s="33">
        <f>($D60/I$13)+$E60</f>
        <v>0</v>
      </c>
      <c r="J60" s="33">
        <f t="shared" ref="J60:K60" si="17">($D60/J$13)+$E60</f>
        <v>0</v>
      </c>
      <c r="K60" s="33">
        <f t="shared" si="17"/>
        <v>0</v>
      </c>
      <c r="L60" s="33">
        <f>($D60/L$13)+$E60</f>
        <v>0</v>
      </c>
      <c r="M60" s="33">
        <f>($D60/M$13)+$E60</f>
        <v>0</v>
      </c>
      <c r="N60" s="33"/>
      <c r="O60" s="32"/>
      <c r="P60" s="199"/>
      <c r="Q60" s="32"/>
      <c r="R60" s="32"/>
      <c r="S60" s="32"/>
      <c r="T60" s="32"/>
      <c r="U60" s="32"/>
      <c r="V60" s="32"/>
      <c r="W60" s="32"/>
      <c r="X60" s="32"/>
      <c r="Y60" s="32"/>
      <c r="Z60" s="32"/>
      <c r="AA60" s="32"/>
      <c r="AB60" s="32"/>
      <c r="AC60" s="32"/>
      <c r="AD60" s="32"/>
      <c r="AE60" s="32"/>
      <c r="AF60" s="32"/>
    </row>
    <row r="61" spans="1:32" x14ac:dyDescent="0.3">
      <c r="A61" s="29"/>
      <c r="B61" s="30"/>
      <c r="C61" s="31"/>
      <c r="D61" s="127"/>
      <c r="E61" s="126"/>
      <c r="F61" s="33">
        <f>($D61/F$13)+$E61</f>
        <v>0</v>
      </c>
      <c r="G61" s="33">
        <f t="shared" si="16"/>
        <v>0</v>
      </c>
      <c r="H61" s="33">
        <f t="shared" si="16"/>
        <v>0</v>
      </c>
      <c r="I61" s="33">
        <f t="shared" si="16"/>
        <v>0</v>
      </c>
      <c r="J61" s="33">
        <f t="shared" si="16"/>
        <v>0</v>
      </c>
      <c r="K61" s="33">
        <f t="shared" si="16"/>
        <v>0</v>
      </c>
      <c r="L61" s="33">
        <f t="shared" si="16"/>
        <v>0</v>
      </c>
      <c r="M61" s="33">
        <f t="shared" si="16"/>
        <v>0</v>
      </c>
      <c r="N61" s="33"/>
      <c r="O61" s="32"/>
      <c r="P61" s="32"/>
      <c r="Q61" s="32"/>
      <c r="R61" s="32"/>
      <c r="S61" s="32"/>
      <c r="T61" s="32"/>
      <c r="U61" s="32"/>
      <c r="V61" s="32"/>
      <c r="W61" s="32"/>
      <c r="X61" s="32"/>
      <c r="Y61" s="32"/>
      <c r="Z61" s="32"/>
      <c r="AA61" s="32"/>
      <c r="AB61" s="32"/>
      <c r="AC61" s="32"/>
      <c r="AD61" s="32"/>
      <c r="AE61" s="32"/>
      <c r="AF61" s="32"/>
    </row>
    <row r="62" spans="1:32" x14ac:dyDescent="0.3">
      <c r="A62" s="29"/>
      <c r="B62" s="30"/>
      <c r="C62" s="31"/>
      <c r="D62" s="127"/>
      <c r="E62" s="126"/>
      <c r="F62" s="33">
        <f t="shared" ref="F62:F64" si="18">($D62/F$13)+$E62</f>
        <v>0</v>
      </c>
      <c r="G62" s="33">
        <f t="shared" si="16"/>
        <v>0</v>
      </c>
      <c r="H62" s="33">
        <f t="shared" si="16"/>
        <v>0</v>
      </c>
      <c r="I62" s="33">
        <f t="shared" si="16"/>
        <v>0</v>
      </c>
      <c r="J62" s="33">
        <f t="shared" si="16"/>
        <v>0</v>
      </c>
      <c r="K62" s="33">
        <f t="shared" si="16"/>
        <v>0</v>
      </c>
      <c r="L62" s="33">
        <f t="shared" si="16"/>
        <v>0</v>
      </c>
      <c r="M62" s="33">
        <f t="shared" si="16"/>
        <v>0</v>
      </c>
      <c r="N62" s="33"/>
      <c r="O62" s="32"/>
      <c r="P62" s="32"/>
      <c r="Q62" s="32"/>
      <c r="R62" s="32"/>
      <c r="S62" s="32"/>
      <c r="T62" s="32"/>
      <c r="U62" s="32"/>
      <c r="V62" s="32"/>
      <c r="W62" s="32"/>
      <c r="X62" s="32"/>
      <c r="Y62" s="32"/>
      <c r="Z62" s="32"/>
      <c r="AA62" s="32"/>
      <c r="AB62" s="32"/>
      <c r="AC62" s="32"/>
      <c r="AD62" s="32"/>
      <c r="AE62" s="32"/>
      <c r="AF62" s="32"/>
    </row>
    <row r="63" spans="1:32" x14ac:dyDescent="0.3">
      <c r="A63" s="29"/>
      <c r="B63" s="30"/>
      <c r="C63" s="31"/>
      <c r="D63" s="127"/>
      <c r="E63" s="126"/>
      <c r="F63" s="33">
        <f t="shared" si="18"/>
        <v>0</v>
      </c>
      <c r="G63" s="33">
        <f t="shared" si="16"/>
        <v>0</v>
      </c>
      <c r="H63" s="33">
        <f t="shared" si="16"/>
        <v>0</v>
      </c>
      <c r="I63" s="33">
        <f t="shared" si="16"/>
        <v>0</v>
      </c>
      <c r="J63" s="33">
        <f t="shared" si="16"/>
        <v>0</v>
      </c>
      <c r="K63" s="33">
        <f t="shared" si="16"/>
        <v>0</v>
      </c>
      <c r="L63" s="33">
        <f t="shared" si="16"/>
        <v>0</v>
      </c>
      <c r="M63" s="33">
        <f t="shared" si="16"/>
        <v>0</v>
      </c>
      <c r="N63" s="33"/>
      <c r="O63" s="32"/>
      <c r="P63" s="32"/>
      <c r="Q63" s="32"/>
      <c r="R63" s="32"/>
      <c r="S63" s="32"/>
      <c r="T63" s="32"/>
      <c r="U63" s="32"/>
      <c r="V63" s="32"/>
      <c r="W63" s="32"/>
      <c r="X63" s="32"/>
      <c r="Y63" s="32"/>
      <c r="Z63" s="32"/>
      <c r="AA63" s="32"/>
      <c r="AB63" s="32"/>
      <c r="AC63" s="32"/>
      <c r="AD63" s="32"/>
      <c r="AE63" s="32"/>
      <c r="AF63" s="32"/>
    </row>
    <row r="64" spans="1:32" ht="15" thickBot="1" x14ac:dyDescent="0.35">
      <c r="A64" s="39"/>
      <c r="B64" s="40"/>
      <c r="C64" s="41"/>
      <c r="D64" s="128"/>
      <c r="E64" s="129"/>
      <c r="F64" s="33">
        <f t="shared" si="18"/>
        <v>0</v>
      </c>
      <c r="G64" s="33">
        <f t="shared" si="16"/>
        <v>0</v>
      </c>
      <c r="H64" s="33">
        <f t="shared" si="16"/>
        <v>0</v>
      </c>
      <c r="I64" s="33">
        <f t="shared" si="16"/>
        <v>0</v>
      </c>
      <c r="J64" s="33">
        <f t="shared" si="16"/>
        <v>0</v>
      </c>
      <c r="K64" s="33">
        <f t="shared" si="16"/>
        <v>0</v>
      </c>
      <c r="L64" s="33">
        <f t="shared" si="16"/>
        <v>0</v>
      </c>
      <c r="M64" s="33">
        <f t="shared" si="16"/>
        <v>0</v>
      </c>
      <c r="N64" s="34"/>
      <c r="O64" s="32"/>
      <c r="P64" s="32"/>
      <c r="Q64" s="32"/>
      <c r="R64" s="32"/>
      <c r="S64" s="32"/>
      <c r="T64" s="32"/>
      <c r="U64" s="32"/>
      <c r="V64" s="32"/>
      <c r="W64" s="32"/>
      <c r="X64" s="32"/>
      <c r="Y64" s="32"/>
      <c r="Z64" s="32"/>
      <c r="AA64" s="32"/>
      <c r="AB64" s="32"/>
      <c r="AC64" s="32"/>
      <c r="AD64" s="32"/>
      <c r="AE64" s="32"/>
      <c r="AF64" s="32"/>
    </row>
    <row r="65" spans="1:32" x14ac:dyDescent="0.3">
      <c r="A65" s="2"/>
      <c r="B65" s="216" t="s">
        <v>16</v>
      </c>
      <c r="C65" s="216"/>
      <c r="D65" s="216"/>
      <c r="E65" s="217"/>
      <c r="F65" s="59">
        <f>SUM(F47:F58)</f>
        <v>0.52743600000000002</v>
      </c>
      <c r="G65" s="59">
        <f t="shared" ref="G65:M65" si="19">SUM(G47:G58)</f>
        <v>0.51487799999999995</v>
      </c>
      <c r="H65" s="59">
        <f t="shared" si="19"/>
        <v>0.51069199999999992</v>
      </c>
      <c r="I65" s="59">
        <f t="shared" si="19"/>
        <v>0.50734319999999999</v>
      </c>
      <c r="J65" s="59">
        <f t="shared" ref="J65:K65" si="20">SUM(J47:J58)</f>
        <v>0.50633855999999999</v>
      </c>
      <c r="K65" s="59">
        <f t="shared" si="20"/>
        <v>0.50566879999999992</v>
      </c>
      <c r="L65" s="59">
        <f t="shared" si="19"/>
        <v>0.50519040000000004</v>
      </c>
      <c r="M65" s="59">
        <f t="shared" si="19"/>
        <v>0.50483159999999994</v>
      </c>
      <c r="N65" s="60">
        <f>IF(N13=0,0,SUM(N56:N58))</f>
        <v>0</v>
      </c>
      <c r="O65" s="32"/>
      <c r="P65" s="32"/>
      <c r="Q65" s="32"/>
      <c r="R65" s="32"/>
      <c r="S65" s="32"/>
      <c r="T65" s="32"/>
      <c r="U65" s="32"/>
      <c r="V65" s="32"/>
      <c r="W65" s="32"/>
      <c r="X65" s="32"/>
      <c r="Y65" s="32"/>
      <c r="Z65" s="32"/>
      <c r="AA65" s="32"/>
      <c r="AB65" s="32"/>
      <c r="AC65" s="32"/>
      <c r="AD65" s="32"/>
      <c r="AE65" s="32"/>
      <c r="AF65" s="32"/>
    </row>
    <row r="66" spans="1:32" x14ac:dyDescent="0.3">
      <c r="A66" s="3"/>
      <c r="B66" s="218" t="s">
        <v>17</v>
      </c>
      <c r="C66" s="218"/>
      <c r="D66" s="218"/>
      <c r="E66" s="219"/>
      <c r="F66" s="13">
        <f>SUM(F60:F64)</f>
        <v>0</v>
      </c>
      <c r="G66" s="13">
        <f t="shared" ref="G66:M66" si="21">SUM(G60:G64)</f>
        <v>0</v>
      </c>
      <c r="H66" s="13">
        <f t="shared" si="21"/>
        <v>0</v>
      </c>
      <c r="I66" s="13">
        <f t="shared" si="21"/>
        <v>0</v>
      </c>
      <c r="J66" s="13">
        <f t="shared" ref="J66:K66" si="22">SUM(J60:J64)</f>
        <v>0</v>
      </c>
      <c r="K66" s="13">
        <f t="shared" si="22"/>
        <v>0</v>
      </c>
      <c r="L66" s="13">
        <f t="shared" si="21"/>
        <v>0</v>
      </c>
      <c r="M66" s="13">
        <f t="shared" si="21"/>
        <v>0</v>
      </c>
      <c r="N66" s="61">
        <f>IF(N13=0,0,SUM(N60:N64))</f>
        <v>0</v>
      </c>
      <c r="O66" s="32"/>
      <c r="P66" s="32"/>
      <c r="Q66" s="32"/>
      <c r="R66" s="32"/>
      <c r="S66" s="32"/>
      <c r="T66" s="32"/>
      <c r="U66" s="32"/>
      <c r="V66" s="32"/>
      <c r="W66" s="32"/>
      <c r="X66" s="32"/>
      <c r="Y66" s="32"/>
      <c r="Z66" s="32"/>
      <c r="AA66" s="32"/>
      <c r="AB66" s="32"/>
      <c r="AC66" s="32"/>
      <c r="AD66" s="32"/>
      <c r="AE66" s="32"/>
      <c r="AF66" s="32"/>
    </row>
    <row r="67" spans="1:32" ht="15" thickBot="1" x14ac:dyDescent="0.35">
      <c r="A67" s="4"/>
      <c r="B67" s="220" t="s">
        <v>18</v>
      </c>
      <c r="C67" s="220"/>
      <c r="D67" s="220"/>
      <c r="E67" s="221"/>
      <c r="F67" s="62">
        <f>SUM(F$44+F$65+F$66)</f>
        <v>92.797153499999993</v>
      </c>
      <c r="G67" s="62">
        <f t="shared" ref="G67:M67" si="23">SUM(G$44+G$65+G$66)</f>
        <v>83.727483625000005</v>
      </c>
      <c r="H67" s="62">
        <f t="shared" si="23"/>
        <v>80.704260333333352</v>
      </c>
      <c r="I67" s="62">
        <f t="shared" si="23"/>
        <v>78.285681700000012</v>
      </c>
      <c r="J67" s="62">
        <f t="shared" si="23"/>
        <v>77.560108110000002</v>
      </c>
      <c r="K67" s="62">
        <f t="shared" si="23"/>
        <v>77.076392383333342</v>
      </c>
      <c r="L67" s="62">
        <f t="shared" si="23"/>
        <v>76.730881150000016</v>
      </c>
      <c r="M67" s="62">
        <f t="shared" si="23"/>
        <v>76.471747725</v>
      </c>
      <c r="N67" s="62">
        <f>IF(N13=0,0,SUM(N44+N65+N66))</f>
        <v>0</v>
      </c>
      <c r="O67" s="32"/>
      <c r="P67" s="32"/>
      <c r="Q67" s="32"/>
      <c r="R67" s="32"/>
      <c r="S67" s="32"/>
      <c r="T67" s="32"/>
      <c r="U67" s="32"/>
      <c r="V67" s="32"/>
      <c r="W67" s="32"/>
      <c r="X67" s="32"/>
      <c r="Y67" s="32"/>
      <c r="Z67" s="32"/>
      <c r="AA67" s="32"/>
      <c r="AB67" s="32"/>
      <c r="AC67" s="32"/>
      <c r="AD67" s="32"/>
      <c r="AE67" s="32"/>
      <c r="AF67" s="32"/>
    </row>
    <row r="68" spans="1:32" ht="15" thickBot="1" x14ac:dyDescent="0.35">
      <c r="A68" s="113"/>
      <c r="B68" s="93"/>
      <c r="C68" s="93"/>
      <c r="D68" s="93"/>
      <c r="E68" s="93"/>
      <c r="F68" s="114"/>
      <c r="G68" s="114"/>
      <c r="H68" s="114"/>
      <c r="I68" s="114"/>
      <c r="J68" s="114"/>
      <c r="K68" s="114"/>
      <c r="L68" s="114"/>
      <c r="M68" s="114"/>
      <c r="N68" s="114"/>
      <c r="O68" s="32"/>
      <c r="P68" s="32"/>
      <c r="Q68" s="32"/>
      <c r="R68" s="32"/>
      <c r="S68" s="32"/>
      <c r="T68" s="32"/>
      <c r="U68" s="32"/>
      <c r="V68" s="32"/>
      <c r="W68" s="32"/>
      <c r="X68" s="32"/>
      <c r="Y68" s="32"/>
      <c r="Z68" s="32"/>
      <c r="AA68" s="32"/>
      <c r="AB68" s="32"/>
      <c r="AC68" s="32"/>
      <c r="AD68" s="32"/>
      <c r="AE68" s="32"/>
      <c r="AF68" s="32"/>
    </row>
    <row r="69" spans="1:32" x14ac:dyDescent="0.3">
      <c r="A69" s="3"/>
      <c r="D69" s="64" t="s">
        <v>19</v>
      </c>
      <c r="E69" s="65">
        <f>VLOOKUP(D69,[1]!Rates2020,$B$96,FALSE)</f>
        <v>0.2</v>
      </c>
      <c r="F69" s="13">
        <f>F44*$E69</f>
        <v>18.453943500000001</v>
      </c>
      <c r="G69" s="13">
        <f t="shared" ref="G69:M69" si="24">G44*$E69</f>
        <v>16.642521125000002</v>
      </c>
      <c r="H69" s="13">
        <f t="shared" si="24"/>
        <v>16.03871366666667</v>
      </c>
      <c r="I69" s="13">
        <f t="shared" si="24"/>
        <v>15.555667700000004</v>
      </c>
      <c r="J69" s="13">
        <f t="shared" ref="J69:K69" si="25">J44*$E69</f>
        <v>15.41075391</v>
      </c>
      <c r="K69" s="13">
        <f t="shared" si="25"/>
        <v>15.31414471666667</v>
      </c>
      <c r="L69" s="13">
        <f t="shared" si="24"/>
        <v>15.245138150000002</v>
      </c>
      <c r="M69" s="13">
        <f t="shared" si="24"/>
        <v>15.193383225</v>
      </c>
      <c r="N69" s="13"/>
      <c r="O69" s="32"/>
      <c r="P69" s="32"/>
      <c r="Q69" s="32"/>
      <c r="R69" s="32"/>
      <c r="S69" s="32"/>
      <c r="T69" s="32"/>
      <c r="U69" s="32"/>
      <c r="V69" s="32"/>
      <c r="W69" s="32"/>
      <c r="X69" s="32"/>
      <c r="Y69" s="32"/>
      <c r="Z69" s="32"/>
      <c r="AA69" s="32"/>
      <c r="AB69" s="32"/>
      <c r="AC69" s="32"/>
      <c r="AD69" s="32"/>
      <c r="AE69" s="32"/>
      <c r="AF69" s="32"/>
    </row>
    <row r="70" spans="1:32" x14ac:dyDescent="0.3">
      <c r="A70" s="3"/>
      <c r="D70" s="64" t="s">
        <v>23</v>
      </c>
      <c r="E70" s="65">
        <f>VLOOKUP(D70,[1]!Rates2020,$B$96,FALSE)</f>
        <v>0.2</v>
      </c>
      <c r="F70" s="13">
        <f>F65*$E70</f>
        <v>0.1054872</v>
      </c>
      <c r="G70" s="13">
        <f t="shared" ref="G70:M71" si="26">G65*$E70</f>
        <v>0.1029756</v>
      </c>
      <c r="H70" s="13">
        <f t="shared" si="26"/>
        <v>0.10213839999999999</v>
      </c>
      <c r="I70" s="13">
        <f t="shared" si="26"/>
        <v>0.10146864</v>
      </c>
      <c r="J70" s="13">
        <f t="shared" ref="J70:K70" si="27">J65*$E70</f>
        <v>0.10126771200000001</v>
      </c>
      <c r="K70" s="13">
        <f t="shared" si="27"/>
        <v>0.10113375999999999</v>
      </c>
      <c r="L70" s="13">
        <f t="shared" si="26"/>
        <v>0.10103808000000002</v>
      </c>
      <c r="M70" s="13">
        <f t="shared" si="26"/>
        <v>0.10096632</v>
      </c>
      <c r="N70" s="13"/>
      <c r="O70" s="32"/>
      <c r="P70" s="32"/>
      <c r="Q70" s="32"/>
      <c r="R70" s="32"/>
      <c r="S70" s="32"/>
      <c r="T70" s="32"/>
      <c r="U70" s="32"/>
      <c r="V70" s="32"/>
      <c r="W70" s="32"/>
      <c r="X70" s="32"/>
      <c r="Y70" s="32"/>
      <c r="Z70" s="32"/>
      <c r="AA70" s="32"/>
      <c r="AB70" s="32"/>
      <c r="AC70" s="32"/>
      <c r="AD70" s="32"/>
      <c r="AE70" s="32"/>
      <c r="AF70" s="32"/>
    </row>
    <row r="71" spans="1:32" x14ac:dyDescent="0.3">
      <c r="A71" s="3"/>
      <c r="D71" s="64" t="s">
        <v>48</v>
      </c>
      <c r="E71" s="65">
        <f>VLOOKUP(D71,[1]!Rates2020,$B$96,FALSE)</f>
        <v>0.2</v>
      </c>
      <c r="F71" s="13">
        <f>F66*$E71</f>
        <v>0</v>
      </c>
      <c r="G71" s="13">
        <f t="shared" si="26"/>
        <v>0</v>
      </c>
      <c r="H71" s="13">
        <f t="shared" si="26"/>
        <v>0</v>
      </c>
      <c r="I71" s="13">
        <f t="shared" si="26"/>
        <v>0</v>
      </c>
      <c r="J71" s="13">
        <f t="shared" ref="J71:K71" si="28">J66*$E71</f>
        <v>0</v>
      </c>
      <c r="K71" s="13">
        <f t="shared" si="28"/>
        <v>0</v>
      </c>
      <c r="L71" s="13">
        <f t="shared" si="26"/>
        <v>0</v>
      </c>
      <c r="M71" s="13">
        <f t="shared" si="26"/>
        <v>0</v>
      </c>
      <c r="N71" s="13"/>
      <c r="O71" s="32"/>
      <c r="P71" s="32"/>
      <c r="Q71" s="32"/>
      <c r="R71" s="32"/>
      <c r="S71" s="32"/>
      <c r="T71" s="32"/>
      <c r="U71" s="32"/>
      <c r="V71" s="32"/>
      <c r="W71" s="32"/>
      <c r="X71" s="32"/>
      <c r="Y71" s="32"/>
      <c r="Z71" s="32"/>
      <c r="AA71" s="32"/>
      <c r="AB71" s="32"/>
      <c r="AC71" s="32"/>
      <c r="AD71" s="32"/>
      <c r="AE71" s="32"/>
      <c r="AF71" s="32"/>
    </row>
    <row r="72" spans="1:32" ht="15" thickBot="1" x14ac:dyDescent="0.35">
      <c r="A72" s="4"/>
      <c r="B72" s="1"/>
      <c r="C72" s="1"/>
      <c r="D72" s="1"/>
      <c r="E72" s="66" t="s">
        <v>20</v>
      </c>
      <c r="F72" s="67">
        <f>SUM(F69:F71)</f>
        <v>18.5594307</v>
      </c>
      <c r="G72" s="67">
        <f t="shared" ref="G72:M72" si="29">SUM(G69:G71)</f>
        <v>16.745496725000002</v>
      </c>
      <c r="H72" s="67">
        <f t="shared" si="29"/>
        <v>16.140852066666671</v>
      </c>
      <c r="I72" s="67">
        <f t="shared" si="29"/>
        <v>15.657136340000005</v>
      </c>
      <c r="J72" s="67">
        <f t="shared" ref="J72:K72" si="30">SUM(J69:J71)</f>
        <v>15.512021622000001</v>
      </c>
      <c r="K72" s="67">
        <f t="shared" si="30"/>
        <v>15.41527847666667</v>
      </c>
      <c r="L72" s="67">
        <f t="shared" si="29"/>
        <v>15.346176230000003</v>
      </c>
      <c r="M72" s="67">
        <f t="shared" si="29"/>
        <v>15.294349544999999</v>
      </c>
      <c r="N72" s="67"/>
      <c r="O72" s="32"/>
      <c r="P72" s="32"/>
      <c r="Q72" s="32"/>
      <c r="R72" s="32"/>
      <c r="S72" s="32"/>
      <c r="T72" s="32"/>
      <c r="U72" s="32"/>
      <c r="V72" s="32"/>
      <c r="W72" s="32"/>
      <c r="X72" s="32"/>
      <c r="Y72" s="32"/>
      <c r="Z72" s="32"/>
      <c r="AA72" s="32"/>
      <c r="AB72" s="32"/>
      <c r="AC72" s="32"/>
      <c r="AD72" s="32"/>
      <c r="AE72" s="32"/>
      <c r="AF72" s="32"/>
    </row>
    <row r="73" spans="1:32" x14ac:dyDescent="0.3">
      <c r="A73" s="2"/>
      <c r="B73" s="63"/>
      <c r="C73" s="63"/>
      <c r="D73" s="68" t="s">
        <v>21</v>
      </c>
      <c r="E73" s="174">
        <f>VLOOKUP(D73,[1]!Rates2020,$B$96,FALSE)</f>
        <v>0.2</v>
      </c>
      <c r="F73" s="59">
        <f>(F44+F69)*$E73</f>
        <v>22.1447322</v>
      </c>
      <c r="G73" s="59">
        <f t="shared" ref="G73:M73" si="31">(G44+G69)*$E73</f>
        <v>19.971025350000005</v>
      </c>
      <c r="H73" s="59">
        <f t="shared" si="31"/>
        <v>19.246456400000003</v>
      </c>
      <c r="I73" s="59">
        <f t="shared" si="31"/>
        <v>18.666801240000005</v>
      </c>
      <c r="J73" s="59">
        <f t="shared" ref="J73:K73" si="32">(J44+J69)*$E73</f>
        <v>18.492904692</v>
      </c>
      <c r="K73" s="59">
        <f t="shared" si="32"/>
        <v>18.376973660000004</v>
      </c>
      <c r="L73" s="59">
        <f t="shared" si="31"/>
        <v>18.294165780000004</v>
      </c>
      <c r="M73" s="59">
        <f t="shared" si="31"/>
        <v>18.232059870000001</v>
      </c>
      <c r="N73" s="59"/>
      <c r="O73" s="32"/>
      <c r="P73" s="32"/>
      <c r="Q73" s="32"/>
      <c r="R73" s="32"/>
      <c r="S73" s="32"/>
      <c r="T73" s="32"/>
      <c r="U73" s="32"/>
      <c r="V73" s="32"/>
      <c r="W73" s="32"/>
      <c r="X73" s="32"/>
      <c r="Y73" s="32"/>
      <c r="Z73" s="32"/>
      <c r="AA73" s="32"/>
      <c r="AB73" s="32"/>
      <c r="AC73" s="32"/>
      <c r="AD73" s="32"/>
      <c r="AE73" s="32"/>
      <c r="AF73" s="32"/>
    </row>
    <row r="74" spans="1:32" x14ac:dyDescent="0.3">
      <c r="A74" s="3"/>
      <c r="D74" s="64" t="s">
        <v>46</v>
      </c>
      <c r="E74" s="65">
        <f>VLOOKUP(D74,[1]!Rates2020,$B$96,FALSE)</f>
        <v>0.2</v>
      </c>
      <c r="F74" s="13">
        <f>(+F70+F65)*$E74</f>
        <v>0.12658464</v>
      </c>
      <c r="G74" s="13">
        <f t="shared" ref="G74:M75" si="33">(+G70+G65)*$E74</f>
        <v>0.12357071999999998</v>
      </c>
      <c r="H74" s="13">
        <f t="shared" si="33"/>
        <v>0.12256607999999998</v>
      </c>
      <c r="I74" s="13">
        <f t="shared" si="33"/>
        <v>0.12176236800000001</v>
      </c>
      <c r="J74" s="13">
        <f t="shared" ref="J74:K74" si="34">(+J70+J65)*$E74</f>
        <v>0.1215212544</v>
      </c>
      <c r="K74" s="13">
        <f t="shared" si="34"/>
        <v>0.12136051199999998</v>
      </c>
      <c r="L74" s="13">
        <f t="shared" si="33"/>
        <v>0.12124569600000001</v>
      </c>
      <c r="M74" s="13">
        <f t="shared" si="33"/>
        <v>0.12115958399999999</v>
      </c>
      <c r="N74" s="13"/>
      <c r="O74" s="32"/>
      <c r="P74" s="32"/>
      <c r="Q74" s="32"/>
      <c r="R74" s="32"/>
      <c r="S74" s="32"/>
      <c r="T74" s="32"/>
      <c r="U74" s="32"/>
      <c r="V74" s="32"/>
      <c r="W74" s="32"/>
      <c r="X74" s="32"/>
      <c r="Y74" s="32"/>
      <c r="Z74" s="32"/>
      <c r="AA74" s="32"/>
      <c r="AB74" s="32"/>
      <c r="AC74" s="32"/>
      <c r="AD74" s="32"/>
      <c r="AE74" s="32"/>
      <c r="AF74" s="32"/>
    </row>
    <row r="75" spans="1:32" x14ac:dyDescent="0.3">
      <c r="A75" s="3"/>
      <c r="D75" s="64" t="s">
        <v>47</v>
      </c>
      <c r="E75" s="175">
        <f>VLOOKUP(D75,[1]!Rates2020,$B$96,FALSE)</f>
        <v>0.2</v>
      </c>
      <c r="F75" s="13">
        <f>(+F71+F66)*$E75</f>
        <v>0</v>
      </c>
      <c r="G75" s="13">
        <f t="shared" si="33"/>
        <v>0</v>
      </c>
      <c r="H75" s="13">
        <f t="shared" si="33"/>
        <v>0</v>
      </c>
      <c r="I75" s="13">
        <f t="shared" si="33"/>
        <v>0</v>
      </c>
      <c r="J75" s="13">
        <f t="shared" ref="J75:K75" si="35">(+J71+J66)*$E75</f>
        <v>0</v>
      </c>
      <c r="K75" s="13">
        <f t="shared" si="35"/>
        <v>0</v>
      </c>
      <c r="L75" s="13">
        <f t="shared" si="33"/>
        <v>0</v>
      </c>
      <c r="M75" s="13">
        <f t="shared" si="33"/>
        <v>0</v>
      </c>
      <c r="N75" s="13"/>
      <c r="O75" s="32"/>
      <c r="P75" s="32"/>
      <c r="Q75" s="32"/>
      <c r="R75" s="32"/>
      <c r="S75" s="32"/>
      <c r="T75" s="32"/>
      <c r="U75" s="32"/>
      <c r="V75" s="32"/>
      <c r="W75" s="32"/>
      <c r="X75" s="32"/>
      <c r="Y75" s="32"/>
      <c r="Z75" s="32"/>
      <c r="AA75" s="32"/>
      <c r="AB75" s="32"/>
      <c r="AC75" s="32"/>
      <c r="AD75" s="32"/>
      <c r="AE75" s="32"/>
      <c r="AF75" s="32"/>
    </row>
    <row r="76" spans="1:32" ht="14.25" customHeight="1" thickBot="1" x14ac:dyDescent="0.35">
      <c r="A76" s="4"/>
      <c r="B76" s="1"/>
      <c r="C76" s="1"/>
      <c r="D76" s="1"/>
      <c r="E76" s="66" t="s">
        <v>20</v>
      </c>
      <c r="F76" s="67">
        <f>SUM(F73:F75)</f>
        <v>22.271316840000001</v>
      </c>
      <c r="G76" s="67">
        <f t="shared" ref="G76:M76" si="36">SUM(G73:G75)</f>
        <v>20.094596070000005</v>
      </c>
      <c r="H76" s="67">
        <f t="shared" si="36"/>
        <v>19.369022480000002</v>
      </c>
      <c r="I76" s="67">
        <f t="shared" si="36"/>
        <v>18.788563608000004</v>
      </c>
      <c r="J76" s="67">
        <f t="shared" ref="J76:K76" si="37">SUM(J73:J75)</f>
        <v>18.614425946400001</v>
      </c>
      <c r="K76" s="67">
        <f t="shared" si="37"/>
        <v>18.498334172000003</v>
      </c>
      <c r="L76" s="67">
        <f t="shared" si="36"/>
        <v>18.415411476000003</v>
      </c>
      <c r="M76" s="67">
        <f t="shared" si="36"/>
        <v>18.353219454000001</v>
      </c>
      <c r="N76" s="67"/>
      <c r="O76" s="32"/>
      <c r="P76" s="32"/>
      <c r="T76" s="32"/>
      <c r="U76" s="32"/>
      <c r="V76" s="32"/>
      <c r="W76" s="32"/>
      <c r="X76" s="32"/>
      <c r="Y76" s="32"/>
      <c r="Z76" s="32"/>
      <c r="AA76" s="32"/>
      <c r="AB76" s="32"/>
      <c r="AC76" s="32"/>
      <c r="AD76" s="32"/>
      <c r="AE76" s="32"/>
      <c r="AF76" s="32"/>
    </row>
    <row r="77" spans="1:32" ht="12" hidden="1" customHeight="1" thickBot="1" x14ac:dyDescent="0.35">
      <c r="A77" s="2"/>
      <c r="B77" s="63"/>
      <c r="C77" s="63"/>
      <c r="D77" s="63"/>
      <c r="E77" s="81" t="s">
        <v>45</v>
      </c>
      <c r="F77" s="82">
        <f>SUM(F67+F72+F76)</f>
        <v>133.62790103999998</v>
      </c>
      <c r="G77" s="83">
        <f t="shared" ref="G77:N77" si="38">SUM(G67+G72+G76)</f>
        <v>120.56757642000001</v>
      </c>
      <c r="H77" s="83">
        <f t="shared" si="38"/>
        <v>116.21413488000002</v>
      </c>
      <c r="I77" s="83">
        <f t="shared" si="38"/>
        <v>112.73138164800002</v>
      </c>
      <c r="J77" s="83">
        <f t="shared" ref="J77:K77" si="39">SUM(J67+J72+J76)</f>
        <v>111.68655567840001</v>
      </c>
      <c r="K77" s="83">
        <f t="shared" si="39"/>
        <v>110.99000503200001</v>
      </c>
      <c r="L77" s="83">
        <f t="shared" si="38"/>
        <v>110.49246885600002</v>
      </c>
      <c r="M77" s="83">
        <f t="shared" si="38"/>
        <v>110.119316724</v>
      </c>
      <c r="N77" s="84">
        <f t="shared" si="38"/>
        <v>0</v>
      </c>
      <c r="O77" s="32"/>
      <c r="P77" s="32"/>
      <c r="T77" s="32"/>
      <c r="U77" s="32"/>
      <c r="V77" s="32"/>
      <c r="W77" s="32"/>
      <c r="X77" s="32"/>
      <c r="Y77" s="32"/>
      <c r="Z77" s="32"/>
      <c r="AA77" s="32"/>
      <c r="AB77" s="32"/>
      <c r="AC77" s="32"/>
      <c r="AD77" s="32"/>
      <c r="AE77" s="32"/>
      <c r="AF77" s="32"/>
    </row>
    <row r="78" spans="1:32" ht="15" hidden="1" thickBot="1" x14ac:dyDescent="0.35">
      <c r="A78" s="3"/>
      <c r="D78" s="203" t="s">
        <v>22</v>
      </c>
      <c r="E78" s="204"/>
      <c r="F78" s="69">
        <f>(F77-F67)/F77</f>
        <v>0.30555555555555552</v>
      </c>
      <c r="G78" s="70">
        <f t="shared" ref="G78:M78" si="40">(G77-G67)/G77</f>
        <v>0.30555555555555558</v>
      </c>
      <c r="H78" s="70">
        <f t="shared" si="40"/>
        <v>0.30555555555555552</v>
      </c>
      <c r="I78" s="70">
        <f t="shared" si="40"/>
        <v>0.30555555555555558</v>
      </c>
      <c r="J78" s="70">
        <f t="shared" ref="J78:K78" si="41">(J77-J67)/J77</f>
        <v>0.30555555555555564</v>
      </c>
      <c r="K78" s="70">
        <f t="shared" si="41"/>
        <v>0.30555555555555558</v>
      </c>
      <c r="L78" s="70">
        <f t="shared" si="40"/>
        <v>0.30555555555555552</v>
      </c>
      <c r="M78" s="70">
        <f t="shared" si="40"/>
        <v>0.30555555555555558</v>
      </c>
      <c r="N78" s="71"/>
      <c r="O78" s="32"/>
      <c r="P78" s="32"/>
      <c r="T78" s="32"/>
      <c r="U78" s="32"/>
      <c r="V78" s="32"/>
      <c r="W78" s="32"/>
      <c r="X78" s="32"/>
      <c r="Y78" s="32"/>
      <c r="Z78" s="32"/>
      <c r="AA78" s="32"/>
      <c r="AB78" s="32"/>
      <c r="AC78" s="32"/>
      <c r="AD78" s="32"/>
      <c r="AE78" s="32"/>
      <c r="AF78" s="32"/>
    </row>
    <row r="79" spans="1:32" x14ac:dyDescent="0.3">
      <c r="A79" s="3"/>
      <c r="B79" s="27"/>
      <c r="D79" s="203" t="s">
        <v>34</v>
      </c>
      <c r="E79" s="204"/>
      <c r="F79" s="72">
        <f>SUM((F44,F69,F73))</f>
        <v>132.86839319999999</v>
      </c>
      <c r="G79" s="72">
        <f>SUM((G44,G69,G73))</f>
        <v>119.82615210000002</v>
      </c>
      <c r="H79" s="72">
        <f>SUM((H44,H69,H73))</f>
        <v>115.47873840000001</v>
      </c>
      <c r="I79" s="72">
        <f>SUM((I44,I69,I73))</f>
        <v>112.00080744000002</v>
      </c>
      <c r="J79" s="72">
        <f>SUM((J44,J69,J73))</f>
        <v>110.95742815199999</v>
      </c>
      <c r="K79" s="72">
        <f>SUM((K44,K69,K73))</f>
        <v>110.26184196000003</v>
      </c>
      <c r="L79" s="72">
        <f>SUM((L44,L69,L73))</f>
        <v>109.76499468000002</v>
      </c>
      <c r="M79" s="72">
        <f>SUM((M44,M69,M73))</f>
        <v>109.39235922</v>
      </c>
      <c r="N79" s="59">
        <f>SUM((N44,N69,N73))</f>
        <v>0</v>
      </c>
      <c r="O79" s="32"/>
      <c r="P79" s="32"/>
      <c r="T79" s="32"/>
      <c r="U79" s="32"/>
      <c r="V79" s="32"/>
      <c r="W79" s="32"/>
      <c r="X79" s="32"/>
      <c r="Y79" s="32"/>
      <c r="Z79" s="32"/>
      <c r="AA79" s="32"/>
      <c r="AB79" s="32"/>
      <c r="AC79" s="32"/>
      <c r="AD79" s="32"/>
      <c r="AE79" s="32"/>
      <c r="AF79" s="32"/>
    </row>
    <row r="80" spans="1:32" x14ac:dyDescent="0.3">
      <c r="A80" s="3"/>
      <c r="B80" s="27"/>
      <c r="C80" s="203" t="s">
        <v>35</v>
      </c>
      <c r="D80" s="203"/>
      <c r="E80" s="204"/>
      <c r="F80" s="12">
        <f>(F65+F70+F74)</f>
        <v>0.75950784000000005</v>
      </c>
      <c r="G80" s="12">
        <f t="shared" ref="G80:N80" si="42">(G65+G70+G74)</f>
        <v>0.74142431999999991</v>
      </c>
      <c r="H80" s="12">
        <f t="shared" si="42"/>
        <v>0.73539647999999991</v>
      </c>
      <c r="I80" s="12">
        <f t="shared" si="42"/>
        <v>0.73057420799999995</v>
      </c>
      <c r="J80" s="12">
        <f t="shared" ref="J80:K80" si="43">(J65+J70+J74)</f>
        <v>0.72912752639999989</v>
      </c>
      <c r="K80" s="12">
        <f t="shared" si="43"/>
        <v>0.72816307199999986</v>
      </c>
      <c r="L80" s="12">
        <f t="shared" si="42"/>
        <v>0.72747417600000008</v>
      </c>
      <c r="M80" s="12">
        <f t="shared" si="42"/>
        <v>0.72695750399999981</v>
      </c>
      <c r="N80" s="13">
        <f t="shared" si="42"/>
        <v>0</v>
      </c>
      <c r="O80" s="32"/>
      <c r="P80" s="32"/>
      <c r="T80" s="32"/>
      <c r="U80" s="32"/>
      <c r="V80" s="32"/>
      <c r="W80" s="32"/>
      <c r="X80" s="32"/>
      <c r="Y80" s="32"/>
      <c r="Z80" s="32"/>
      <c r="AA80" s="32"/>
      <c r="AB80" s="32"/>
      <c r="AC80" s="32"/>
      <c r="AD80" s="32"/>
      <c r="AE80" s="32"/>
      <c r="AF80" s="32"/>
    </row>
    <row r="81" spans="1:32" x14ac:dyDescent="0.3">
      <c r="A81" s="3"/>
      <c r="B81" s="27"/>
      <c r="D81" s="203" t="s">
        <v>36</v>
      </c>
      <c r="E81" s="204"/>
      <c r="F81" s="12">
        <f>F66+F71+F75</f>
        <v>0</v>
      </c>
      <c r="G81" s="12">
        <f t="shared" ref="G81:N81" si="44">G66+G71+G75</f>
        <v>0</v>
      </c>
      <c r="H81" s="12">
        <f t="shared" si="44"/>
        <v>0</v>
      </c>
      <c r="I81" s="12">
        <f t="shared" si="44"/>
        <v>0</v>
      </c>
      <c r="J81" s="12">
        <f t="shared" ref="J81:K81" si="45">J66+J71+J75</f>
        <v>0</v>
      </c>
      <c r="K81" s="12">
        <f t="shared" si="45"/>
        <v>0</v>
      </c>
      <c r="L81" s="12">
        <f t="shared" si="44"/>
        <v>0</v>
      </c>
      <c r="M81" s="12">
        <f t="shared" si="44"/>
        <v>0</v>
      </c>
      <c r="N81" s="13">
        <f t="shared" si="44"/>
        <v>0</v>
      </c>
      <c r="O81" s="32"/>
      <c r="P81" s="118"/>
      <c r="T81" s="32"/>
      <c r="U81" s="32"/>
      <c r="V81" s="32"/>
      <c r="W81" s="32"/>
      <c r="X81" s="32"/>
      <c r="Y81" s="32"/>
      <c r="Z81" s="32"/>
      <c r="AA81" s="32"/>
      <c r="AB81" s="32"/>
      <c r="AC81" s="32"/>
      <c r="AD81" s="32"/>
      <c r="AE81" s="32"/>
      <c r="AF81" s="32"/>
    </row>
    <row r="82" spans="1:32" x14ac:dyDescent="0.3">
      <c r="A82" s="3"/>
      <c r="D82" s="233" t="s">
        <v>42</v>
      </c>
      <c r="E82" s="234"/>
      <c r="F82" s="58">
        <f>SUM(F79:F81)</f>
        <v>133.62790103999998</v>
      </c>
      <c r="G82" s="73">
        <f t="shared" ref="G82:N82" si="46">SUM(G79:G81)</f>
        <v>120.56757642000001</v>
      </c>
      <c r="H82" s="58">
        <f t="shared" si="46"/>
        <v>116.21413488000002</v>
      </c>
      <c r="I82" s="58">
        <f t="shared" si="46"/>
        <v>112.73138164800001</v>
      </c>
      <c r="J82" s="58">
        <f t="shared" ref="J82:K82" si="47">SUM(J79:J81)</f>
        <v>111.6865556784</v>
      </c>
      <c r="K82" s="58">
        <f t="shared" si="47"/>
        <v>110.99000503200003</v>
      </c>
      <c r="L82" s="58">
        <f t="shared" si="46"/>
        <v>110.49246885600002</v>
      </c>
      <c r="M82" s="58">
        <f t="shared" si="46"/>
        <v>110.119316724</v>
      </c>
      <c r="N82" s="73">
        <f t="shared" si="46"/>
        <v>0</v>
      </c>
      <c r="O82" s="119"/>
      <c r="P82" s="118"/>
      <c r="T82" s="32"/>
      <c r="U82" s="32"/>
      <c r="V82" s="32"/>
      <c r="W82" s="32"/>
      <c r="X82" s="32"/>
      <c r="Y82" s="32"/>
      <c r="Z82" s="32"/>
      <c r="AA82" s="32"/>
      <c r="AB82" s="32"/>
      <c r="AC82" s="32"/>
      <c r="AD82" s="32"/>
      <c r="AE82" s="32"/>
      <c r="AF82" s="32"/>
    </row>
    <row r="83" spans="1:32" x14ac:dyDescent="0.3">
      <c r="A83" s="3"/>
      <c r="B83" s="77"/>
      <c r="D83" s="203" t="s">
        <v>40</v>
      </c>
      <c r="E83" s="204"/>
      <c r="F83" s="78">
        <f t="shared" ref="F83:M83" si="48">$N$82/F13</f>
        <v>0</v>
      </c>
      <c r="G83" s="73">
        <f t="shared" si="48"/>
        <v>0</v>
      </c>
      <c r="H83" s="58">
        <f t="shared" si="48"/>
        <v>0</v>
      </c>
      <c r="I83" s="73">
        <f t="shared" si="48"/>
        <v>0</v>
      </c>
      <c r="J83" s="73">
        <f t="shared" ref="J83:K83" si="49">$N$82/J13</f>
        <v>0</v>
      </c>
      <c r="K83" s="73">
        <f t="shared" si="49"/>
        <v>0</v>
      </c>
      <c r="L83" s="73">
        <f t="shared" si="48"/>
        <v>0</v>
      </c>
      <c r="M83" s="73">
        <f t="shared" si="48"/>
        <v>0</v>
      </c>
      <c r="N83" s="73"/>
      <c r="O83" s="119"/>
      <c r="P83" s="118"/>
      <c r="T83" s="32"/>
      <c r="U83" s="32"/>
      <c r="V83" s="32"/>
      <c r="W83" s="32"/>
      <c r="X83" s="32"/>
      <c r="Y83" s="32"/>
      <c r="Z83" s="32"/>
      <c r="AA83" s="32"/>
      <c r="AB83" s="32"/>
      <c r="AC83" s="32"/>
      <c r="AD83" s="32"/>
      <c r="AE83" s="32"/>
      <c r="AF83" s="32"/>
    </row>
    <row r="84" spans="1:32" x14ac:dyDescent="0.3">
      <c r="A84" s="3"/>
      <c r="B84" s="77"/>
      <c r="D84" s="203" t="s">
        <v>119</v>
      </c>
      <c r="E84" s="204"/>
      <c r="F84" s="78">
        <f>F67-F67*$H$4</f>
        <v>4.6398576750000018</v>
      </c>
      <c r="G84" s="78">
        <f t="shared" ref="G84:M84" si="50">G67-G67*$H$4</f>
        <v>4.1863741812500024</v>
      </c>
      <c r="H84" s="78">
        <f t="shared" si="50"/>
        <v>4.035213016666674</v>
      </c>
      <c r="I84" s="78">
        <f t="shared" si="50"/>
        <v>3.9142840850000056</v>
      </c>
      <c r="J84" s="78">
        <f t="shared" ref="J84:K84" si="51">J67-J67*$H$4</f>
        <v>3.8780054055000051</v>
      </c>
      <c r="K84" s="78">
        <f t="shared" si="51"/>
        <v>3.8538196191666714</v>
      </c>
      <c r="L84" s="78">
        <f t="shared" si="50"/>
        <v>3.8365440575000065</v>
      </c>
      <c r="M84" s="78">
        <f t="shared" si="50"/>
        <v>3.8235873862499972</v>
      </c>
      <c r="N84" s="73"/>
      <c r="O84" s="32"/>
      <c r="P84" s="118"/>
      <c r="T84" s="32"/>
      <c r="U84" s="32"/>
      <c r="V84" s="32"/>
      <c r="W84" s="32"/>
      <c r="X84" s="32"/>
      <c r="Y84" s="32"/>
      <c r="Z84" s="32"/>
      <c r="AA84" s="32"/>
      <c r="AB84" s="32"/>
      <c r="AC84" s="32"/>
      <c r="AD84" s="32"/>
      <c r="AE84" s="32"/>
      <c r="AF84" s="32"/>
    </row>
    <row r="85" spans="1:32" ht="15" thickBot="1" x14ac:dyDescent="0.35">
      <c r="A85" s="3"/>
      <c r="B85" s="1"/>
      <c r="C85" s="1"/>
      <c r="D85" s="235" t="s">
        <v>44</v>
      </c>
      <c r="E85" s="236"/>
      <c r="F85" s="186">
        <v>0</v>
      </c>
      <c r="G85" s="186">
        <v>0</v>
      </c>
      <c r="H85" s="186">
        <v>0</v>
      </c>
      <c r="I85" s="186">
        <v>0</v>
      </c>
      <c r="J85" s="186">
        <v>0</v>
      </c>
      <c r="K85" s="186">
        <v>0</v>
      </c>
      <c r="L85" s="186">
        <v>0</v>
      </c>
      <c r="M85" s="186">
        <v>0</v>
      </c>
      <c r="N85" s="182"/>
      <c r="O85" s="32"/>
      <c r="P85" s="32"/>
      <c r="T85" s="32"/>
      <c r="U85" s="32"/>
      <c r="V85" s="32"/>
      <c r="W85" s="32"/>
      <c r="X85" s="32"/>
      <c r="Y85" s="32"/>
      <c r="Z85" s="32"/>
      <c r="AA85" s="32"/>
      <c r="AB85" s="32"/>
      <c r="AC85" s="32"/>
      <c r="AD85" s="32"/>
      <c r="AE85" s="32"/>
      <c r="AF85" s="32"/>
    </row>
    <row r="86" spans="1:32" ht="15" thickBot="1" x14ac:dyDescent="0.35">
      <c r="A86" s="190"/>
      <c r="B86" s="189"/>
      <c r="C86" s="188"/>
      <c r="D86" s="184" t="s">
        <v>116</v>
      </c>
      <c r="E86" s="191">
        <v>0</v>
      </c>
      <c r="F86" s="80">
        <f>F$82*$E$86</f>
        <v>0</v>
      </c>
      <c r="G86" s="80">
        <f t="shared" ref="G86:M86" si="52">G$82*$E$86</f>
        <v>0</v>
      </c>
      <c r="H86" s="80">
        <f t="shared" si="52"/>
        <v>0</v>
      </c>
      <c r="I86" s="80">
        <f t="shared" si="52"/>
        <v>0</v>
      </c>
      <c r="J86" s="80">
        <f t="shared" si="52"/>
        <v>0</v>
      </c>
      <c r="K86" s="80">
        <f t="shared" si="52"/>
        <v>0</v>
      </c>
      <c r="L86" s="80">
        <f t="shared" si="52"/>
        <v>0</v>
      </c>
      <c r="M86" s="80">
        <f t="shared" si="52"/>
        <v>0</v>
      </c>
      <c r="N86" s="79"/>
      <c r="O86" s="32"/>
      <c r="P86" s="32"/>
      <c r="T86" s="32"/>
      <c r="U86" s="32"/>
      <c r="V86" s="32"/>
      <c r="W86" s="32"/>
      <c r="X86" s="32"/>
      <c r="Y86" s="32"/>
      <c r="Z86" s="32"/>
      <c r="AA86" s="32"/>
      <c r="AB86" s="32"/>
      <c r="AC86" s="32"/>
      <c r="AD86" s="32"/>
      <c r="AE86" s="32"/>
      <c r="AF86" s="32"/>
    </row>
    <row r="87" spans="1:32" ht="15" thickBot="1" x14ac:dyDescent="0.35">
      <c r="D87" s="243" t="s">
        <v>120</v>
      </c>
      <c r="E87" s="232"/>
      <c r="F87" s="76">
        <f t="shared" ref="F87:K87" si="53">SUM(F82:F86)</f>
        <v>138.26775871499999</v>
      </c>
      <c r="G87" s="76">
        <f t="shared" si="53"/>
        <v>124.75395060125001</v>
      </c>
      <c r="H87" s="76">
        <f t="shared" si="53"/>
        <v>120.24934789666669</v>
      </c>
      <c r="I87" s="76">
        <f t="shared" si="53"/>
        <v>116.64566573300002</v>
      </c>
      <c r="J87" s="76">
        <f t="shared" si="53"/>
        <v>115.5645610839</v>
      </c>
      <c r="K87" s="76">
        <f t="shared" si="53"/>
        <v>114.8438246511667</v>
      </c>
      <c r="L87" s="76">
        <f t="shared" ref="L87:M87" si="54">SUM(L82:L86)</f>
        <v>114.32901291350002</v>
      </c>
      <c r="M87" s="76">
        <f t="shared" si="54"/>
        <v>113.94290411025</v>
      </c>
      <c r="N87" s="74"/>
      <c r="O87" s="32"/>
      <c r="P87" s="32"/>
      <c r="T87" s="32"/>
      <c r="U87" s="32"/>
      <c r="V87" s="32"/>
      <c r="W87" s="32"/>
      <c r="X87" s="32"/>
      <c r="Y87" s="32"/>
      <c r="Z87" s="32"/>
      <c r="AA87" s="32"/>
      <c r="AB87" s="32"/>
      <c r="AC87" s="32"/>
      <c r="AD87" s="32"/>
      <c r="AE87" s="32"/>
      <c r="AF87" s="32"/>
    </row>
    <row r="88" spans="1:32" ht="15" thickBot="1" x14ac:dyDescent="0.35">
      <c r="D88" s="240" t="s">
        <v>118</v>
      </c>
      <c r="E88" s="240"/>
      <c r="F88" s="192">
        <f>(F87-F67-F83-F84)/(F87-F83)</f>
        <v>0.29530201342281875</v>
      </c>
      <c r="G88" s="192">
        <f t="shared" ref="G88:L88" si="55">(G87-G67-G83-G84)/(G87-G83)</f>
        <v>0.29530201342281881</v>
      </c>
      <c r="H88" s="192">
        <f t="shared" si="55"/>
        <v>0.2953020134228187</v>
      </c>
      <c r="I88" s="192">
        <f t="shared" si="55"/>
        <v>0.29530201342281875</v>
      </c>
      <c r="J88" s="192">
        <f t="shared" ref="J88:K88" si="56">(J87-J67-J83-J84)/(J87-J83)</f>
        <v>0.29530201342281875</v>
      </c>
      <c r="K88" s="192">
        <f t="shared" si="56"/>
        <v>0.29530201342281887</v>
      </c>
      <c r="L88" s="192">
        <f t="shared" si="55"/>
        <v>0.29530201342281875</v>
      </c>
      <c r="M88" s="192">
        <f>(M87-M67-M83-M84)/(M87-M83)</f>
        <v>0.29530201342281881</v>
      </c>
      <c r="N88" s="26"/>
    </row>
    <row r="89" spans="1:32" ht="15" thickBot="1" x14ac:dyDescent="0.35">
      <c r="D89" s="240" t="s">
        <v>117</v>
      </c>
      <c r="E89" s="240"/>
      <c r="F89" s="192">
        <f>F65/F87</f>
        <v>3.8145986085386737E-3</v>
      </c>
      <c r="G89" s="192">
        <f t="shared" ref="G89:M89" si="57">G65/G87</f>
        <v>4.12714785799209E-3</v>
      </c>
      <c r="H89" s="192">
        <f t="shared" si="57"/>
        <v>4.2469419496465833E-3</v>
      </c>
      <c r="I89" s="192">
        <f t="shared" si="57"/>
        <v>4.3494389338160251E-3</v>
      </c>
      <c r="J89" s="192">
        <f t="shared" ref="J89:K89" si="58">J65/J87</f>
        <v>4.3814345440415566E-3</v>
      </c>
      <c r="K89" s="192">
        <f t="shared" si="58"/>
        <v>4.4030996140710888E-3</v>
      </c>
      <c r="L89" s="192">
        <f t="shared" si="57"/>
        <v>4.4187419022170783E-3</v>
      </c>
      <c r="M89" s="192">
        <f t="shared" si="57"/>
        <v>4.4305663783286587E-3</v>
      </c>
    </row>
    <row r="90" spans="1:32" x14ac:dyDescent="0.3">
      <c r="F90" s="26"/>
      <c r="G90" s="26"/>
      <c r="H90" s="26"/>
      <c r="I90" s="26"/>
      <c r="J90" s="26"/>
      <c r="K90" s="26"/>
      <c r="L90" s="26"/>
      <c r="M90" s="26"/>
    </row>
    <row r="91" spans="1:32" x14ac:dyDescent="0.3">
      <c r="F91" s="26"/>
      <c r="G91" s="26"/>
      <c r="H91" s="26"/>
      <c r="I91" s="26"/>
      <c r="J91" s="26"/>
      <c r="K91" s="26"/>
      <c r="L91" s="26"/>
      <c r="M91" s="26"/>
    </row>
    <row r="92" spans="1:32" x14ac:dyDescent="0.3">
      <c r="F92" s="26"/>
      <c r="G92" s="26"/>
      <c r="H92" s="26"/>
      <c r="I92" s="26"/>
      <c r="J92" s="26"/>
      <c r="K92" s="26"/>
      <c r="L92" s="26"/>
      <c r="M92" s="26"/>
    </row>
    <row r="94" spans="1:32" ht="15.75" customHeight="1" x14ac:dyDescent="0.3"/>
    <row r="95" spans="1:32" hidden="1" x14ac:dyDescent="0.3"/>
    <row r="96" spans="1:32" ht="14.25" customHeight="1" x14ac:dyDescent="0.3">
      <c r="A96" t="s">
        <v>95</v>
      </c>
      <c r="B96" s="7">
        <f>YearRubber-2019</f>
        <v>7</v>
      </c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</row>
    <row r="97" spans="1:14" x14ac:dyDescent="0.3">
      <c r="A97" s="101"/>
      <c r="B97" s="172"/>
      <c r="C97" s="176"/>
      <c r="D97" s="36"/>
      <c r="E97" s="36"/>
      <c r="F97" s="36"/>
      <c r="G97" s="36"/>
      <c r="H97" s="36"/>
      <c r="I97" s="36"/>
      <c r="J97" s="36"/>
      <c r="K97" s="36"/>
      <c r="L97" s="36"/>
      <c r="M97" s="36"/>
      <c r="N97" s="36"/>
    </row>
    <row r="98" spans="1:14" x14ac:dyDescent="0.3">
      <c r="A98" s="101"/>
      <c r="B98" s="130" t="s">
        <v>74</v>
      </c>
      <c r="C98" s="56"/>
      <c r="D98" s="55"/>
      <c r="E98" s="130"/>
      <c r="F98" s="56"/>
      <c r="G98" s="36"/>
      <c r="H98" s="36"/>
      <c r="I98" s="36"/>
      <c r="J98" s="36"/>
      <c r="K98" s="36"/>
      <c r="L98" s="36"/>
      <c r="M98" s="36"/>
      <c r="N98" s="36"/>
    </row>
    <row r="99" spans="1:14" x14ac:dyDescent="0.3">
      <c r="A99" s="101"/>
      <c r="B99" s="130">
        <v>2</v>
      </c>
      <c r="C99" s="56"/>
      <c r="D99" s="55"/>
      <c r="E99" s="130"/>
      <c r="F99" s="56"/>
      <c r="G99" s="36"/>
      <c r="H99" s="36"/>
      <c r="I99" s="36"/>
      <c r="J99" s="36"/>
      <c r="K99" s="36"/>
      <c r="L99" s="36"/>
      <c r="M99" s="36"/>
      <c r="N99" s="36"/>
    </row>
    <row r="100" spans="1:14" x14ac:dyDescent="0.3">
      <c r="A100" s="101"/>
      <c r="B100" s="130" t="s">
        <v>76</v>
      </c>
      <c r="C100" s="56"/>
      <c r="D100" s="55"/>
      <c r="E100" s="130"/>
      <c r="F100" s="56"/>
      <c r="G100" s="36"/>
      <c r="H100" s="36"/>
      <c r="I100" s="36"/>
      <c r="J100" s="36"/>
      <c r="K100" s="36"/>
      <c r="L100" s="36"/>
      <c r="M100" s="36"/>
      <c r="N100" s="36"/>
    </row>
    <row r="101" spans="1:14" x14ac:dyDescent="0.3">
      <c r="A101" s="101"/>
      <c r="B101" s="130">
        <v>4</v>
      </c>
      <c r="C101" s="56"/>
      <c r="D101" s="36"/>
      <c r="E101" s="36"/>
      <c r="F101" s="36"/>
      <c r="G101" s="36"/>
      <c r="H101" s="36"/>
      <c r="I101" s="36"/>
      <c r="J101" s="36"/>
      <c r="K101" s="36"/>
      <c r="L101" s="36"/>
      <c r="M101" s="36"/>
      <c r="N101" s="36"/>
    </row>
    <row r="102" spans="1:14" x14ac:dyDescent="0.3">
      <c r="A102" s="101"/>
      <c r="B102" s="57" t="s">
        <v>75</v>
      </c>
      <c r="C102" s="56"/>
      <c r="D102" s="36"/>
      <c r="E102" s="36"/>
      <c r="F102" s="36"/>
      <c r="G102" s="36"/>
      <c r="H102" s="36"/>
      <c r="I102" s="36"/>
      <c r="J102" s="36"/>
      <c r="K102" s="36"/>
      <c r="L102" s="36"/>
      <c r="M102" s="36"/>
      <c r="N102" s="36"/>
    </row>
    <row r="103" spans="1:14" x14ac:dyDescent="0.3">
      <c r="A103" s="101"/>
      <c r="B103" s="130"/>
      <c r="C103" s="56"/>
      <c r="D103" s="36"/>
      <c r="E103" s="36"/>
      <c r="F103" s="36"/>
      <c r="G103" s="36"/>
      <c r="H103" s="36"/>
      <c r="I103" s="36"/>
      <c r="J103" s="36"/>
      <c r="K103" s="36"/>
      <c r="L103" s="36"/>
      <c r="M103" s="36"/>
      <c r="N103" s="36"/>
    </row>
    <row r="104" spans="1:14" x14ac:dyDescent="0.3">
      <c r="A104" s="102"/>
      <c r="B104" s="36"/>
      <c r="C104" s="36"/>
      <c r="D104" s="36"/>
      <c r="E104" s="36"/>
      <c r="F104" s="36"/>
      <c r="G104" s="36"/>
      <c r="H104" s="36"/>
      <c r="I104" s="36"/>
      <c r="J104" s="36"/>
      <c r="K104" s="36"/>
      <c r="L104" s="36"/>
      <c r="M104" s="36"/>
      <c r="N104" s="36"/>
    </row>
    <row r="105" spans="1:14" x14ac:dyDescent="0.3">
      <c r="A105" s="102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</row>
    <row r="106" spans="1:14" x14ac:dyDescent="0.3">
      <c r="A106" s="103"/>
      <c r="B106" s="7"/>
      <c r="C106" s="7"/>
      <c r="D106" s="7"/>
      <c r="E106" s="7"/>
      <c r="F106" s="103"/>
      <c r="G106" s="7"/>
      <c r="H106" s="7"/>
      <c r="I106" s="7"/>
      <c r="J106" s="7"/>
      <c r="K106" s="7"/>
      <c r="L106" s="7"/>
      <c r="M106" s="7"/>
      <c r="N106" s="7"/>
    </row>
    <row r="107" spans="1:14" x14ac:dyDescent="0.3">
      <c r="A107" s="7"/>
      <c r="B107" s="7"/>
      <c r="C107" s="7"/>
      <c r="D107" s="7"/>
      <c r="E107" s="7"/>
      <c r="F107" s="104"/>
      <c r="G107" s="46"/>
      <c r="H107" s="46"/>
      <c r="I107" s="46"/>
      <c r="J107" s="46"/>
      <c r="K107" s="46"/>
      <c r="L107" s="46"/>
      <c r="M107" s="46"/>
      <c r="N107" s="46"/>
    </row>
    <row r="108" spans="1:14" x14ac:dyDescent="0.3">
      <c r="A108" s="7"/>
      <c r="B108" s="105"/>
      <c r="C108" s="105"/>
      <c r="D108" s="105"/>
      <c r="E108" s="105"/>
      <c r="F108" s="7"/>
      <c r="G108" s="7"/>
      <c r="H108" s="7"/>
      <c r="I108" s="7"/>
      <c r="J108" s="7"/>
      <c r="K108" s="7"/>
      <c r="L108" s="7"/>
      <c r="M108" s="7"/>
      <c r="N108" s="7"/>
    </row>
    <row r="109" spans="1:14" x14ac:dyDescent="0.3">
      <c r="A109" s="120" t="s">
        <v>94</v>
      </c>
      <c r="B109" s="36"/>
      <c r="C109" s="36"/>
      <c r="D109" s="36"/>
      <c r="E109" s="18"/>
      <c r="F109" s="18"/>
      <c r="G109" s="18"/>
      <c r="H109" s="18"/>
      <c r="I109" s="18"/>
      <c r="J109" s="18"/>
      <c r="K109" s="18"/>
      <c r="L109" s="18"/>
      <c r="M109" s="18"/>
      <c r="N109" s="18"/>
    </row>
    <row r="110" spans="1:14" x14ac:dyDescent="0.3">
      <c r="A110" s="120" t="s">
        <v>65</v>
      </c>
      <c r="B110" s="36"/>
      <c r="C110" s="36"/>
      <c r="D110" s="36"/>
      <c r="E110" s="18"/>
      <c r="F110" s="18"/>
      <c r="G110" s="18"/>
      <c r="H110" s="18"/>
      <c r="I110" s="18"/>
      <c r="J110" s="18"/>
      <c r="K110" s="18"/>
      <c r="L110" s="18"/>
      <c r="M110" s="18"/>
      <c r="N110" s="18"/>
    </row>
    <row r="111" spans="1:14" x14ac:dyDescent="0.3">
      <c r="A111" s="120" t="s">
        <v>96</v>
      </c>
      <c r="B111" s="36"/>
      <c r="C111" s="36"/>
      <c r="D111" s="36"/>
      <c r="E111" s="18"/>
      <c r="F111" s="18"/>
      <c r="G111" s="18"/>
      <c r="H111" s="18"/>
      <c r="I111" s="18"/>
      <c r="J111" s="18"/>
      <c r="K111" s="18"/>
      <c r="L111" s="18"/>
      <c r="M111" s="18"/>
      <c r="N111" s="18"/>
    </row>
    <row r="112" spans="1:14" x14ac:dyDescent="0.3">
      <c r="A112" s="120" t="s">
        <v>97</v>
      </c>
      <c r="B112" s="36"/>
      <c r="C112" s="36"/>
      <c r="D112" s="36"/>
      <c r="E112" s="18"/>
      <c r="F112" s="18"/>
      <c r="G112" s="18"/>
      <c r="H112" s="18"/>
      <c r="I112" s="18"/>
      <c r="J112" s="18"/>
      <c r="K112" s="18"/>
      <c r="L112" s="18"/>
      <c r="M112" s="18"/>
      <c r="N112" s="18"/>
    </row>
    <row r="113" spans="1:14" x14ac:dyDescent="0.3">
      <c r="A113" s="120" t="s">
        <v>98</v>
      </c>
      <c r="B113" s="36"/>
      <c r="C113" s="36"/>
      <c r="D113" s="36"/>
      <c r="E113" s="18"/>
      <c r="F113" s="18"/>
      <c r="G113" s="18"/>
      <c r="H113" s="18"/>
      <c r="I113" s="18"/>
      <c r="J113" s="18"/>
      <c r="K113" s="18"/>
      <c r="L113" s="18"/>
      <c r="M113" s="18"/>
      <c r="N113" s="18"/>
    </row>
    <row r="114" spans="1:14" x14ac:dyDescent="0.3">
      <c r="A114" s="120" t="s">
        <v>99</v>
      </c>
      <c r="B114" s="36"/>
      <c r="C114" s="36"/>
      <c r="D114" s="36"/>
      <c r="E114" s="18"/>
      <c r="F114" s="18"/>
      <c r="G114" s="18"/>
      <c r="H114" s="18"/>
      <c r="I114" s="18"/>
      <c r="J114" s="18"/>
      <c r="K114" s="18"/>
      <c r="L114" s="18"/>
      <c r="M114" s="18"/>
      <c r="N114" s="18"/>
    </row>
    <row r="115" spans="1:14" x14ac:dyDescent="0.3">
      <c r="A115" s="120" t="s">
        <v>100</v>
      </c>
      <c r="B115" s="36"/>
      <c r="C115" s="36"/>
      <c r="D115" s="36"/>
      <c r="E115" s="18"/>
      <c r="F115" s="18"/>
      <c r="G115" s="18"/>
      <c r="H115" s="18"/>
      <c r="I115" s="18"/>
      <c r="J115" s="18"/>
      <c r="K115" s="18"/>
      <c r="L115" s="18"/>
      <c r="M115" s="18"/>
      <c r="N115" s="18"/>
    </row>
    <row r="116" spans="1:14" x14ac:dyDescent="0.3">
      <c r="A116" s="120" t="s">
        <v>101</v>
      </c>
      <c r="B116" s="36"/>
      <c r="C116" s="36"/>
      <c r="D116" s="36"/>
      <c r="E116" s="18"/>
      <c r="F116" s="18"/>
      <c r="G116" s="18"/>
      <c r="H116" s="18"/>
      <c r="I116" s="18"/>
      <c r="J116" s="18"/>
      <c r="K116" s="18"/>
      <c r="L116" s="18"/>
      <c r="M116" s="18"/>
      <c r="N116" s="18"/>
    </row>
    <row r="117" spans="1:14" x14ac:dyDescent="0.3">
      <c r="A117" s="120" t="s">
        <v>102</v>
      </c>
      <c r="B117" s="36"/>
      <c r="C117" s="36"/>
      <c r="D117" s="36"/>
      <c r="E117" s="18"/>
      <c r="F117" s="18"/>
      <c r="G117" s="18"/>
      <c r="H117" s="18"/>
      <c r="I117" s="18"/>
      <c r="J117" s="18"/>
      <c r="K117" s="18"/>
      <c r="L117" s="18"/>
      <c r="M117" s="18"/>
      <c r="N117" s="18"/>
    </row>
    <row r="118" spans="1:14" x14ac:dyDescent="0.3">
      <c r="A118" s="120" t="s">
        <v>103</v>
      </c>
      <c r="B118" s="36"/>
      <c r="C118" s="36"/>
      <c r="D118" s="36"/>
      <c r="E118" s="18"/>
      <c r="F118" s="18"/>
      <c r="G118" s="18"/>
      <c r="H118" s="18"/>
      <c r="I118" s="18"/>
      <c r="J118" s="18"/>
      <c r="K118" s="18"/>
      <c r="L118" s="18"/>
      <c r="M118" s="18"/>
      <c r="N118" s="18"/>
    </row>
    <row r="119" spans="1:14" x14ac:dyDescent="0.3">
      <c r="A119" s="120" t="s">
        <v>49</v>
      </c>
      <c r="B119" s="36"/>
      <c r="C119" s="36"/>
      <c r="D119" s="36"/>
      <c r="E119" s="18"/>
      <c r="F119" s="18"/>
      <c r="G119" s="18"/>
      <c r="H119" s="18"/>
      <c r="I119" s="18"/>
      <c r="J119" s="18"/>
      <c r="K119" s="18"/>
      <c r="L119" s="18"/>
      <c r="M119" s="18"/>
      <c r="N119" s="18"/>
    </row>
    <row r="120" spans="1:14" x14ac:dyDescent="0.3">
      <c r="A120" s="182" t="s">
        <v>87</v>
      </c>
      <c r="B120" s="7"/>
      <c r="C120" s="7"/>
      <c r="D120" s="7"/>
      <c r="E120" s="101"/>
      <c r="F120" s="20"/>
      <c r="G120" s="20"/>
      <c r="H120" s="20"/>
      <c r="I120" s="20"/>
      <c r="J120" s="20"/>
      <c r="K120" s="20"/>
      <c r="L120" s="20"/>
      <c r="M120" s="20"/>
      <c r="N120" s="20"/>
    </row>
    <row r="121" spans="1:14" x14ac:dyDescent="0.3">
      <c r="A121" s="183" t="s">
        <v>88</v>
      </c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</row>
    <row r="122" spans="1:14" x14ac:dyDescent="0.3">
      <c r="A122" s="29" t="s">
        <v>54</v>
      </c>
      <c r="B122" s="106"/>
      <c r="C122" s="106"/>
      <c r="D122" s="106"/>
      <c r="E122" s="106"/>
    </row>
    <row r="123" spans="1:14" x14ac:dyDescent="0.3">
      <c r="A123" s="29" t="s">
        <v>55</v>
      </c>
      <c r="B123" s="32"/>
      <c r="C123" s="32"/>
      <c r="D123" s="32"/>
      <c r="E123" s="32"/>
      <c r="F123" s="107"/>
      <c r="G123" s="107"/>
      <c r="H123" s="107"/>
      <c r="I123" s="107"/>
      <c r="J123" s="107"/>
      <c r="K123" s="107"/>
      <c r="L123" s="107"/>
      <c r="M123" s="107"/>
      <c r="N123" s="107"/>
    </row>
    <row r="124" spans="1:14" x14ac:dyDescent="0.3">
      <c r="A124" s="29" t="s">
        <v>56</v>
      </c>
      <c r="B124" s="32"/>
      <c r="C124" s="32"/>
      <c r="D124" s="32"/>
      <c r="E124" s="32"/>
      <c r="F124" s="107"/>
      <c r="G124" s="107"/>
      <c r="H124" s="107"/>
      <c r="I124" s="107"/>
      <c r="J124" s="107"/>
      <c r="K124" s="107"/>
      <c r="L124" s="107"/>
      <c r="M124" s="107"/>
      <c r="N124" s="107"/>
    </row>
    <row r="125" spans="1:14" x14ac:dyDescent="0.3">
      <c r="A125" s="29" t="s">
        <v>57</v>
      </c>
      <c r="B125" s="32"/>
      <c r="C125" s="32"/>
      <c r="D125" s="32"/>
      <c r="E125" s="32"/>
      <c r="F125" s="107"/>
      <c r="G125" s="107"/>
      <c r="H125" s="107"/>
      <c r="I125" s="107"/>
      <c r="J125" s="107"/>
      <c r="K125" s="107"/>
      <c r="L125" s="107"/>
      <c r="M125" s="107"/>
      <c r="N125" s="107"/>
    </row>
    <row r="126" spans="1:14" x14ac:dyDescent="0.3">
      <c r="A126" s="29" t="s">
        <v>58</v>
      </c>
      <c r="B126" s="32"/>
      <c r="C126" s="32"/>
      <c r="D126" s="32"/>
      <c r="E126" s="32"/>
      <c r="F126" s="107"/>
      <c r="G126" s="107"/>
      <c r="H126" s="107"/>
      <c r="I126" s="107"/>
      <c r="J126" s="107"/>
      <c r="K126" s="107"/>
      <c r="L126" s="107"/>
      <c r="M126" s="107"/>
      <c r="N126" s="107"/>
    </row>
    <row r="127" spans="1:14" x14ac:dyDescent="0.3">
      <c r="A127" s="29" t="s">
        <v>59</v>
      </c>
      <c r="B127" s="32"/>
      <c r="C127" s="32"/>
      <c r="D127" s="32"/>
      <c r="E127" s="32"/>
      <c r="F127" s="107"/>
      <c r="G127" s="107"/>
      <c r="H127" s="107"/>
      <c r="I127" s="107"/>
      <c r="J127" s="107"/>
      <c r="K127" s="107"/>
      <c r="L127" s="107"/>
      <c r="M127" s="107"/>
      <c r="N127" s="107"/>
    </row>
    <row r="128" spans="1:14" x14ac:dyDescent="0.3">
      <c r="A128" s="29" t="s">
        <v>61</v>
      </c>
      <c r="B128" s="32"/>
      <c r="C128" s="32"/>
      <c r="D128" s="32"/>
      <c r="E128" s="32"/>
      <c r="F128" s="107"/>
      <c r="G128" s="107"/>
      <c r="H128" s="107"/>
      <c r="I128" s="107"/>
      <c r="J128" s="107"/>
      <c r="K128" s="107"/>
      <c r="L128" s="107"/>
      <c r="M128" s="107"/>
      <c r="N128" s="107"/>
    </row>
    <row r="129" spans="1:14" x14ac:dyDescent="0.3">
      <c r="A129" s="29" t="s">
        <v>62</v>
      </c>
      <c r="B129" s="32"/>
      <c r="C129" s="32"/>
      <c r="D129" s="32"/>
      <c r="E129" s="32"/>
      <c r="F129" s="107"/>
      <c r="G129" s="107"/>
      <c r="H129" s="107"/>
      <c r="I129" s="107"/>
      <c r="J129" s="107"/>
      <c r="K129" s="107"/>
      <c r="L129" s="107"/>
      <c r="M129" s="107"/>
      <c r="N129" s="107"/>
    </row>
    <row r="130" spans="1:14" x14ac:dyDescent="0.3">
      <c r="A130" s="29" t="s">
        <v>63</v>
      </c>
      <c r="B130" s="32"/>
      <c r="C130" s="32"/>
      <c r="D130" s="32"/>
      <c r="E130" s="32"/>
      <c r="F130" s="107"/>
      <c r="G130" s="107"/>
      <c r="H130" s="107"/>
      <c r="I130" s="107"/>
      <c r="J130" s="107"/>
      <c r="K130" s="107"/>
      <c r="L130" s="107"/>
      <c r="M130" s="107"/>
      <c r="N130" s="107"/>
    </row>
    <row r="131" spans="1:14" x14ac:dyDescent="0.3">
      <c r="A131" s="29" t="s">
        <v>64</v>
      </c>
      <c r="B131" s="32"/>
      <c r="C131" s="32"/>
      <c r="D131" s="32"/>
      <c r="E131" s="32"/>
      <c r="F131" s="107"/>
      <c r="G131" s="107"/>
      <c r="H131" s="107"/>
      <c r="I131" s="107"/>
      <c r="J131" s="107"/>
      <c r="K131" s="107"/>
      <c r="L131" s="107"/>
      <c r="M131" s="107"/>
      <c r="N131" s="107"/>
    </row>
    <row r="132" spans="1:14" x14ac:dyDescent="0.3">
      <c r="A132" s="29" t="s">
        <v>60</v>
      </c>
      <c r="B132" s="32"/>
      <c r="C132" s="32"/>
      <c r="D132" s="32"/>
      <c r="E132" s="32"/>
      <c r="F132" s="107"/>
      <c r="G132" s="107"/>
      <c r="H132" s="107"/>
      <c r="I132" s="107"/>
      <c r="J132" s="107"/>
      <c r="K132" s="107"/>
      <c r="L132" s="107"/>
      <c r="M132" s="107"/>
      <c r="N132" s="107"/>
    </row>
    <row r="133" spans="1:14" x14ac:dyDescent="0.3">
      <c r="A133" s="182" t="s">
        <v>115</v>
      </c>
      <c r="B133" s="32"/>
      <c r="C133" s="32"/>
      <c r="D133" s="32"/>
      <c r="E133" s="32"/>
      <c r="F133" s="107"/>
      <c r="G133" s="107"/>
      <c r="H133" s="107"/>
      <c r="I133" s="107"/>
      <c r="J133" s="107"/>
      <c r="K133" s="107"/>
      <c r="L133" s="107"/>
      <c r="M133" s="107"/>
      <c r="N133" s="107"/>
    </row>
    <row r="134" spans="1:14" x14ac:dyDescent="0.3">
      <c r="A134" s="182" t="s">
        <v>66</v>
      </c>
      <c r="B134" s="32"/>
      <c r="C134" s="32"/>
      <c r="D134" s="32"/>
      <c r="E134" s="32"/>
      <c r="F134" s="107"/>
      <c r="G134" s="107"/>
      <c r="H134" s="107"/>
      <c r="I134" s="107"/>
      <c r="J134" s="107"/>
      <c r="K134" s="107"/>
      <c r="L134" s="107"/>
      <c r="M134" s="107"/>
      <c r="N134" s="107"/>
    </row>
    <row r="135" spans="1:14" x14ac:dyDescent="0.3">
      <c r="A135" s="182" t="s">
        <v>70</v>
      </c>
      <c r="B135" s="32"/>
      <c r="C135" s="32"/>
      <c r="D135" s="32"/>
      <c r="E135" s="32"/>
      <c r="F135" s="107"/>
      <c r="G135" s="107"/>
      <c r="H135" s="107"/>
      <c r="I135" s="107"/>
      <c r="J135" s="107"/>
      <c r="K135" s="107"/>
      <c r="L135" s="107"/>
      <c r="M135" s="107"/>
      <c r="N135" s="107"/>
    </row>
    <row r="136" spans="1:14" x14ac:dyDescent="0.3">
      <c r="A136" s="182" t="s">
        <v>79</v>
      </c>
      <c r="B136" s="32"/>
      <c r="C136" s="32"/>
      <c r="D136" s="32"/>
      <c r="E136" s="32"/>
      <c r="F136" s="107"/>
      <c r="G136" s="107"/>
      <c r="H136" s="107"/>
      <c r="I136" s="107"/>
      <c r="J136" s="107"/>
      <c r="K136" s="107"/>
      <c r="L136" s="107"/>
      <c r="M136" s="107"/>
      <c r="N136" s="107"/>
    </row>
    <row r="137" spans="1:14" x14ac:dyDescent="0.3">
      <c r="A137" s="182" t="s">
        <v>80</v>
      </c>
      <c r="B137" s="32"/>
      <c r="C137" s="32"/>
      <c r="D137" s="32"/>
      <c r="E137" s="32"/>
      <c r="F137" s="107"/>
      <c r="G137" s="107"/>
      <c r="H137" s="107"/>
      <c r="I137" s="107"/>
      <c r="J137" s="107"/>
      <c r="K137" s="107"/>
      <c r="L137" s="107"/>
      <c r="M137" s="107"/>
      <c r="N137" s="107"/>
    </row>
    <row r="138" spans="1:14" x14ac:dyDescent="0.3">
      <c r="A138" s="182" t="s">
        <v>86</v>
      </c>
      <c r="B138" s="32"/>
      <c r="C138" s="32"/>
      <c r="D138" s="32"/>
      <c r="E138" s="32"/>
      <c r="F138" s="107"/>
      <c r="G138" s="107"/>
      <c r="H138" s="107"/>
      <c r="I138" s="107"/>
      <c r="J138" s="107"/>
      <c r="K138" s="107"/>
      <c r="L138" s="107"/>
      <c r="M138" s="107"/>
      <c r="N138" s="107"/>
    </row>
    <row r="139" spans="1:14" x14ac:dyDescent="0.3">
      <c r="A139" s="182" t="s">
        <v>90</v>
      </c>
      <c r="B139" s="32"/>
      <c r="C139" s="32"/>
      <c r="D139" s="32"/>
      <c r="E139" s="32"/>
      <c r="F139" s="107"/>
      <c r="G139" s="107"/>
      <c r="H139" s="107"/>
      <c r="I139" s="107"/>
      <c r="J139" s="107"/>
      <c r="K139" s="107"/>
      <c r="L139" s="107"/>
      <c r="M139" s="107"/>
      <c r="N139" s="107"/>
    </row>
    <row r="140" spans="1:14" x14ac:dyDescent="0.3">
      <c r="A140" s="182" t="s">
        <v>89</v>
      </c>
      <c r="B140" s="32"/>
      <c r="C140" s="32"/>
      <c r="D140" s="32"/>
      <c r="E140" s="32"/>
      <c r="F140" s="107"/>
      <c r="G140" s="107"/>
      <c r="H140" s="107"/>
      <c r="I140" s="107"/>
      <c r="J140" s="107"/>
      <c r="K140" s="107"/>
      <c r="L140" s="107"/>
      <c r="M140" s="107"/>
      <c r="N140" s="107"/>
    </row>
    <row r="141" spans="1:14" x14ac:dyDescent="0.3">
      <c r="A141" s="182" t="s">
        <v>67</v>
      </c>
      <c r="B141" s="218"/>
      <c r="C141" s="218"/>
      <c r="D141" s="218"/>
      <c r="E141" s="218"/>
      <c r="F141" s="26"/>
      <c r="G141" s="26"/>
      <c r="H141" s="26"/>
      <c r="I141" s="26"/>
      <c r="J141" s="26"/>
      <c r="K141" s="26"/>
      <c r="L141" s="26"/>
      <c r="M141" s="26"/>
      <c r="N141" s="18"/>
    </row>
    <row r="142" spans="1:14" x14ac:dyDescent="0.3">
      <c r="A142" s="182" t="s">
        <v>68</v>
      </c>
      <c r="B142" s="218"/>
      <c r="C142" s="218"/>
      <c r="D142" s="218"/>
      <c r="E142" s="218"/>
      <c r="F142" s="26"/>
      <c r="G142" s="26"/>
      <c r="H142" s="26"/>
      <c r="I142" s="26"/>
      <c r="J142" s="26"/>
      <c r="K142" s="26"/>
      <c r="L142" s="26"/>
      <c r="M142" s="26"/>
      <c r="N142" s="18"/>
    </row>
    <row r="143" spans="1:14" x14ac:dyDescent="0.3">
      <c r="A143" s="182" t="s">
        <v>69</v>
      </c>
      <c r="B143" s="241"/>
      <c r="C143" s="241"/>
      <c r="D143" s="241"/>
      <c r="E143" s="241"/>
      <c r="F143" s="26"/>
      <c r="G143" s="26"/>
      <c r="H143" s="26"/>
      <c r="I143" s="26"/>
      <c r="J143" s="26"/>
      <c r="K143" s="26"/>
      <c r="L143" s="26"/>
      <c r="M143" s="26"/>
      <c r="N143" s="108"/>
    </row>
    <row r="144" spans="1:14" x14ac:dyDescent="0.3">
      <c r="A144" s="182" t="s">
        <v>68</v>
      </c>
      <c r="B144" s="109"/>
      <c r="C144" s="109"/>
      <c r="D144" s="109"/>
      <c r="E144" s="109"/>
      <c r="F144" s="110"/>
      <c r="G144" s="110"/>
      <c r="H144" s="110"/>
      <c r="I144" s="110"/>
      <c r="J144" s="110"/>
      <c r="K144" s="110"/>
      <c r="L144" s="110"/>
      <c r="M144" s="110"/>
      <c r="N144" s="110"/>
    </row>
    <row r="145" spans="1:14" x14ac:dyDescent="0.3">
      <c r="A145" s="182" t="s">
        <v>69</v>
      </c>
      <c r="B145" s="27"/>
      <c r="E145" s="64"/>
      <c r="F145" s="18"/>
      <c r="G145" s="18"/>
      <c r="H145" s="18"/>
      <c r="I145" s="18"/>
      <c r="J145" s="18"/>
      <c r="K145" s="18"/>
      <c r="L145" s="18"/>
      <c r="M145" s="18"/>
      <c r="N145" s="18"/>
    </row>
    <row r="146" spans="1:14" x14ac:dyDescent="0.3">
      <c r="A146" s="3" t="s">
        <v>53</v>
      </c>
      <c r="B146" s="27"/>
      <c r="E146" s="64"/>
      <c r="F146" s="18"/>
      <c r="G146" s="18"/>
      <c r="H146" s="18"/>
      <c r="I146" s="18"/>
      <c r="J146" s="18"/>
      <c r="K146" s="18"/>
      <c r="L146" s="18"/>
      <c r="M146" s="18"/>
      <c r="N146" s="18"/>
    </row>
    <row r="147" spans="1:14" x14ac:dyDescent="0.3">
      <c r="A147" s="182" t="s">
        <v>82</v>
      </c>
      <c r="B147" s="27"/>
      <c r="E147" s="64"/>
      <c r="F147" s="18"/>
      <c r="G147" s="18"/>
      <c r="H147" s="18"/>
      <c r="I147" s="18"/>
      <c r="J147" s="18"/>
      <c r="K147" s="18"/>
      <c r="L147" s="18"/>
      <c r="M147" s="18"/>
      <c r="N147" s="18"/>
    </row>
    <row r="148" spans="1:14" x14ac:dyDescent="0.3">
      <c r="A148" s="182" t="s">
        <v>114</v>
      </c>
      <c r="E148" s="131"/>
      <c r="F148" s="26"/>
      <c r="G148" s="26"/>
      <c r="H148" s="26"/>
      <c r="I148" s="26"/>
      <c r="J148" s="26"/>
      <c r="K148" s="26"/>
      <c r="L148" s="26"/>
      <c r="M148" s="26"/>
      <c r="N148" s="26"/>
    </row>
    <row r="149" spans="1:14" x14ac:dyDescent="0.3">
      <c r="D149" s="203"/>
      <c r="E149" s="203"/>
      <c r="F149" s="18"/>
      <c r="G149" s="18"/>
      <c r="H149" s="18"/>
      <c r="I149" s="18"/>
      <c r="J149" s="18"/>
      <c r="K149" s="18"/>
      <c r="L149" s="18"/>
      <c r="M149" s="18"/>
      <c r="N149" s="26"/>
    </row>
    <row r="150" spans="1:14" ht="15.6" x14ac:dyDescent="0.3">
      <c r="D150" s="242"/>
      <c r="E150" s="242"/>
      <c r="F150" s="111"/>
      <c r="G150" s="111"/>
      <c r="H150" s="111"/>
      <c r="I150" s="111"/>
      <c r="J150" s="111"/>
      <c r="K150" s="111"/>
      <c r="L150" s="111"/>
      <c r="M150" s="111"/>
      <c r="N150" s="26"/>
    </row>
  </sheetData>
  <sheetProtection formatCells="0" formatColumns="0" formatRows="0" insertColumns="0" insertRows="0" insertHyperlinks="0" deleteColumns="0" deleteRows="0"/>
  <mergeCells count="31">
    <mergeCell ref="D82:E82"/>
    <mergeCell ref="B2:C2"/>
    <mergeCell ref="B3:C3"/>
    <mergeCell ref="B6:D6"/>
    <mergeCell ref="B65:E65"/>
    <mergeCell ref="B66:E66"/>
    <mergeCell ref="B67:E67"/>
    <mergeCell ref="Q2:S2"/>
    <mergeCell ref="D78:E78"/>
    <mergeCell ref="D79:E79"/>
    <mergeCell ref="C80:E80"/>
    <mergeCell ref="D81:E81"/>
    <mergeCell ref="F12:M12"/>
    <mergeCell ref="L3:M3"/>
    <mergeCell ref="F6:N10"/>
    <mergeCell ref="F2:G2"/>
    <mergeCell ref="F3:G3"/>
    <mergeCell ref="F4:G4"/>
    <mergeCell ref="F5:G5"/>
    <mergeCell ref="L4:M4"/>
    <mergeCell ref="B143:E143"/>
    <mergeCell ref="D149:E149"/>
    <mergeCell ref="D150:E150"/>
    <mergeCell ref="D83:E83"/>
    <mergeCell ref="D85:E85"/>
    <mergeCell ref="D87:E87"/>
    <mergeCell ref="B141:E141"/>
    <mergeCell ref="B142:E142"/>
    <mergeCell ref="D89:E89"/>
    <mergeCell ref="D88:E88"/>
    <mergeCell ref="D84:E84"/>
  </mergeCells>
  <conditionalFormatting sqref="F86:M86">
    <cfRule type="cellIs" dxfId="0" priority="1" operator="greaterThan">
      <formula>0</formula>
    </cfRule>
  </conditionalFormatting>
  <dataValidations count="2">
    <dataValidation type="list" allowBlank="1" showInputMessage="1" showErrorMessage="1" sqref="H3" xr:uid="{00000000-0002-0000-0100-000000000000}">
      <formula1>$B$98:$B$102</formula1>
    </dataValidation>
    <dataValidation type="list" allowBlank="1" showInputMessage="1" showErrorMessage="1" sqref="A18:A39" xr:uid="{083E69A7-4E55-4748-86BD-82074B0AF93B}">
      <formula1>$A$111:$A$148</formula1>
    </dataValidation>
  </dataValidations>
  <printOptions horizontalCentered="1"/>
  <pageMargins left="0.25" right="0.25" top="0.75" bottom="0.75" header="0.3" footer="0.3"/>
  <pageSetup scale="55" orientation="portrait" r:id="rId1"/>
  <headerFooter>
    <oddHeader>&amp;C&amp;14ESTIMATING QUOTE WORKSHEET&amp;11
&amp;G</oddHeader>
    <oddFooter>&amp;LForm 205 &amp;A&amp;CPage &amp;P</oddFooter>
  </headerFooter>
  <drawing r:id="rId2"/>
  <legacyDrawing r:id="rId3"/>
  <legacyDrawingHF r:id="rId4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61" r:id="rId5" name="Check Box 13">
              <controlPr defaultSize="0" autoFill="0" autoLine="0" autoPict="0" altText="Amortize?_x000a_">
                <anchor moveWithCells="1">
                  <from>
                    <xdr:col>13</xdr:col>
                    <xdr:colOff>38100</xdr:colOff>
                    <xdr:row>46</xdr:row>
                    <xdr:rowOff>7620</xdr:rowOff>
                  </from>
                  <to>
                    <xdr:col>14</xdr:col>
                    <xdr:colOff>68580</xdr:colOff>
                    <xdr:row>47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2" r:id="rId6" name="Check Box 14">
              <controlPr defaultSize="0" autoFill="0" autoLine="0" autoPict="0" altText="Amortize?_x000a_">
                <anchor moveWithCells="1">
                  <from>
                    <xdr:col>13</xdr:col>
                    <xdr:colOff>38100</xdr:colOff>
                    <xdr:row>47</xdr:row>
                    <xdr:rowOff>7620</xdr:rowOff>
                  </from>
                  <to>
                    <xdr:col>14</xdr:col>
                    <xdr:colOff>68580</xdr:colOff>
                    <xdr:row>48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3" r:id="rId7" name="Check Box 15">
              <controlPr defaultSize="0" autoFill="0" autoLine="0" autoPict="0" altText="Amortize?_x000a_">
                <anchor moveWithCells="1">
                  <from>
                    <xdr:col>13</xdr:col>
                    <xdr:colOff>38100</xdr:colOff>
                    <xdr:row>48</xdr:row>
                    <xdr:rowOff>7620</xdr:rowOff>
                  </from>
                  <to>
                    <xdr:col>14</xdr:col>
                    <xdr:colOff>68580</xdr:colOff>
                    <xdr:row>49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4" r:id="rId8" name="Check Box 16">
              <controlPr defaultSize="0" autoFill="0" autoLine="0" autoPict="0" altText="Amortize?_x000a_">
                <anchor moveWithCells="1">
                  <from>
                    <xdr:col>13</xdr:col>
                    <xdr:colOff>38100</xdr:colOff>
                    <xdr:row>49</xdr:row>
                    <xdr:rowOff>7620</xdr:rowOff>
                  </from>
                  <to>
                    <xdr:col>14</xdr:col>
                    <xdr:colOff>68580</xdr:colOff>
                    <xdr:row>50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5" r:id="rId9" name="Check Box 17">
              <controlPr defaultSize="0" autoFill="0" autoLine="0" autoPict="0" altText="Amortize?_x000a_">
                <anchor moveWithCells="1">
                  <from>
                    <xdr:col>13</xdr:col>
                    <xdr:colOff>38100</xdr:colOff>
                    <xdr:row>50</xdr:row>
                    <xdr:rowOff>7620</xdr:rowOff>
                  </from>
                  <to>
                    <xdr:col>14</xdr:col>
                    <xdr:colOff>68580</xdr:colOff>
                    <xdr:row>51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6" r:id="rId10" name="Check Box 18">
              <controlPr defaultSize="0" autoFill="0" autoLine="0" autoPict="0" altText="Amortize?_x000a_">
                <anchor moveWithCells="1">
                  <from>
                    <xdr:col>13</xdr:col>
                    <xdr:colOff>38100</xdr:colOff>
                    <xdr:row>51</xdr:row>
                    <xdr:rowOff>7620</xdr:rowOff>
                  </from>
                  <to>
                    <xdr:col>14</xdr:col>
                    <xdr:colOff>68580</xdr:colOff>
                    <xdr:row>52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7" r:id="rId11" name="Check Box 19">
              <controlPr defaultSize="0" autoFill="0" autoLine="0" autoPict="0" altText="Amortize?_x000a_">
                <anchor moveWithCells="1">
                  <from>
                    <xdr:col>13</xdr:col>
                    <xdr:colOff>38100</xdr:colOff>
                    <xdr:row>52</xdr:row>
                    <xdr:rowOff>7620</xdr:rowOff>
                  </from>
                  <to>
                    <xdr:col>14</xdr:col>
                    <xdr:colOff>68580</xdr:colOff>
                    <xdr:row>53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8" r:id="rId12" name="Check Box 20">
              <controlPr defaultSize="0" autoFill="0" autoLine="0" autoPict="0" altText="Amortize?_x000a_">
                <anchor moveWithCells="1">
                  <from>
                    <xdr:col>13</xdr:col>
                    <xdr:colOff>38100</xdr:colOff>
                    <xdr:row>53</xdr:row>
                    <xdr:rowOff>7620</xdr:rowOff>
                  </from>
                  <to>
                    <xdr:col>14</xdr:col>
                    <xdr:colOff>68580</xdr:colOff>
                    <xdr:row>54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9" r:id="rId13" name="Check Box 21">
              <controlPr defaultSize="0" autoFill="0" autoLine="0" autoPict="0" altText="Amortize?_x000a_">
                <anchor moveWithCells="1">
                  <from>
                    <xdr:col>13</xdr:col>
                    <xdr:colOff>38100</xdr:colOff>
                    <xdr:row>54</xdr:row>
                    <xdr:rowOff>7620</xdr:rowOff>
                  </from>
                  <to>
                    <xdr:col>14</xdr:col>
                    <xdr:colOff>68580</xdr:colOff>
                    <xdr:row>55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0" r:id="rId14" name="Check Box 22">
              <controlPr defaultSize="0" autoFill="0" autoLine="0" autoPict="0" altText="Amortize?_x000a_">
                <anchor moveWithCells="1">
                  <from>
                    <xdr:col>13</xdr:col>
                    <xdr:colOff>38100</xdr:colOff>
                    <xdr:row>55</xdr:row>
                    <xdr:rowOff>7620</xdr:rowOff>
                  </from>
                  <to>
                    <xdr:col>14</xdr:col>
                    <xdr:colOff>68580</xdr:colOff>
                    <xdr:row>56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1" r:id="rId15" name="Check Box 23">
              <controlPr defaultSize="0" autoFill="0" autoLine="0" autoPict="0" altText="Amortize?_x000a_">
                <anchor moveWithCells="1">
                  <from>
                    <xdr:col>13</xdr:col>
                    <xdr:colOff>38100</xdr:colOff>
                    <xdr:row>56</xdr:row>
                    <xdr:rowOff>7620</xdr:rowOff>
                  </from>
                  <to>
                    <xdr:col>14</xdr:col>
                    <xdr:colOff>68580</xdr:colOff>
                    <xdr:row>57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2" r:id="rId16" name="Check Box 24">
              <controlPr defaultSize="0" autoFill="0" autoLine="0" autoPict="0" altText="Amortize?_x000a_">
                <anchor moveWithCells="1">
                  <from>
                    <xdr:col>13</xdr:col>
                    <xdr:colOff>38100</xdr:colOff>
                    <xdr:row>57</xdr:row>
                    <xdr:rowOff>7620</xdr:rowOff>
                  </from>
                  <to>
                    <xdr:col>14</xdr:col>
                    <xdr:colOff>68580</xdr:colOff>
                    <xdr:row>58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3" r:id="rId17" name="Check Box 25">
              <controlPr defaultSize="0" autoFill="0" autoLine="0" autoPict="0" altText="Amortize?_x000a_">
                <anchor moveWithCells="1">
                  <from>
                    <xdr:col>3</xdr:col>
                    <xdr:colOff>30480</xdr:colOff>
                    <xdr:row>15</xdr:row>
                    <xdr:rowOff>152400</xdr:rowOff>
                  </from>
                  <to>
                    <xdr:col>3</xdr:col>
                    <xdr:colOff>670560</xdr:colOff>
                    <xdr:row>17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6" r:id="rId18" name="Check Box 28">
              <controlPr defaultSize="0" autoFill="0" autoLine="0" autoPict="0" altText="Amortize?_x000a_">
                <anchor moveWithCells="1">
                  <from>
                    <xdr:col>3</xdr:col>
                    <xdr:colOff>30480</xdr:colOff>
                    <xdr:row>14</xdr:row>
                    <xdr:rowOff>152400</xdr:rowOff>
                  </from>
                  <to>
                    <xdr:col>3</xdr:col>
                    <xdr:colOff>670560</xdr:colOff>
                    <xdr:row>16</xdr:row>
                    <xdr:rowOff>7620</xdr:rowOff>
                  </to>
                </anchor>
              </controlPr>
            </control>
          </mc:Choice>
        </mc:AlternateContent>
      </controls>
    </mc:Choice>
  </mc:AlternateContent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EA077EA2-6889-4E42-8621-8AC81A727D3C}">
          <x14:formula1>
            <xm:f>'Rev E'!$B$84:$B$98</xm:f>
          </x14:formula1>
          <xm:sqref>B9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A69614E-5646-4AA1-BAFE-08C0C3B4FA1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6</vt:i4>
      </vt:variant>
    </vt:vector>
  </HeadingPairs>
  <TitlesOfParts>
    <vt:vector size="8" baseType="lpstr">
      <vt:lpstr>Rev E</vt:lpstr>
      <vt:lpstr>Rubber Breakdown</vt:lpstr>
      <vt:lpstr>CAV</vt:lpstr>
      <vt:lpstr>Difficulty</vt:lpstr>
      <vt:lpstr>'Rev E'!Print_Area</vt:lpstr>
      <vt:lpstr>'Rubber Breakdown'!Print_Area</vt:lpstr>
      <vt:lpstr>Year</vt:lpstr>
      <vt:lpstr>YearRubber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2016-05-19T15:35:34Z</dcterms:created>
  <dcterms:modified xsi:type="dcterms:W3CDTF">2026-09-01T20:40:24Z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cc161e1-2eb3-4e94-8690-285c9f367e9c_Enabled">
    <vt:lpwstr>true</vt:lpwstr>
  </property>
  <property fmtid="{D5CDD505-2E9C-101B-9397-08002B2CF9AE}" pid="3" name="MSIP_Label_4cc161e1-2eb3-4e94-8690-285c9f367e9c_SetDate">
    <vt:lpwstr>2025-06-17T13:45:04Z</vt:lpwstr>
  </property>
  <property fmtid="{D5CDD505-2E9C-101B-9397-08002B2CF9AE}" pid="4" name="MSIP_Label_4cc161e1-2eb3-4e94-8690-285c9f367e9c_Method">
    <vt:lpwstr>Standard</vt:lpwstr>
  </property>
  <property fmtid="{D5CDD505-2E9C-101B-9397-08002B2CF9AE}" pid="5" name="MSIP_Label_4cc161e1-2eb3-4e94-8690-285c9f367e9c_Name">
    <vt:lpwstr>Non CUI - Controlled Unclassified Information</vt:lpwstr>
  </property>
  <property fmtid="{D5CDD505-2E9C-101B-9397-08002B2CF9AE}" pid="6" name="MSIP_Label_4cc161e1-2eb3-4e94-8690-285c9f367e9c_SiteId">
    <vt:lpwstr>3601bc11-8d58-46d9-b712-1d3558f95a17</vt:lpwstr>
  </property>
  <property fmtid="{D5CDD505-2E9C-101B-9397-08002B2CF9AE}" pid="7" name="MSIP_Label_4cc161e1-2eb3-4e94-8690-285c9f367e9c_ActionId">
    <vt:lpwstr>05d4ec07-8844-42b5-a1fc-406674dde399</vt:lpwstr>
  </property>
  <property fmtid="{D5CDD505-2E9C-101B-9397-08002B2CF9AE}" pid="8" name="MSIP_Label_4cc161e1-2eb3-4e94-8690-285c9f367e9c_ContentBits">
    <vt:lpwstr>0</vt:lpwstr>
  </property>
  <property fmtid="{D5CDD505-2E9C-101B-9397-08002B2CF9AE}" pid="9" name="MSIP_Label_4cc161e1-2eb3-4e94-8690-285c9f367e9c_Tag">
    <vt:lpwstr>10, 3, 0, 1</vt:lpwstr>
  </property>
</Properties>
</file>